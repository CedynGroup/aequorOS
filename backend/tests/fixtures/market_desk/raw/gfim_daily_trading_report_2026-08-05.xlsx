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https://gsegh.sharepoint.com/sites/GHANAFIXEDINCOME/Shared Documents/Valuation tools/Valuation Tools/TRADING REPORT/2026/AUGUST/"/>
    </mc:Choice>
  </mc:AlternateContent>
  <xr:revisionPtr revIDLastSave="0" documentId="8_{073923A5-8360-4AC1-B7F5-5FE4CCCD2BA8}" xr6:coauthVersionLast="47" xr6:coauthVersionMax="47" xr10:uidLastSave="{00000000-0000-0000-0000-000000000000}"/>
  <bookViews>
    <workbookView xWindow="28680" yWindow="-120" windowWidth="29040" windowHeight="15720" tabRatio="610" xr2:uid="{00000000-000D-0000-FFFF-FFFF00000000}"/>
  </bookViews>
  <sheets>
    <sheet name="SUMMARY" sheetId="5" r:id="rId1"/>
    <sheet name="NEW GOG NOTES AND BONDS" sheetId="8" r:id="rId2"/>
    <sheet name="DDEP BONDS" sheetId="6" r:id="rId3"/>
    <sheet name="OLD GOG NOTES AND BONDS " sheetId="1" r:id="rId4"/>
    <sheet name="CORPORATE  " sheetId="2" r:id="rId5"/>
    <sheet name="TREASURY BILLS" sheetId="3" r:id="rId6"/>
    <sheet name="SELL BUY BACK TRADES- GOG BONDS" sheetId="7" r:id="rId7"/>
  </sheets>
  <definedNames>
    <definedName name="_xlnm._FilterDatabase" localSheetId="2" hidden="1">'DDEP BONDS'!$A$1:$N$127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5" l="1"/>
  <c r="G20" i="5"/>
  <c r="F20" i="5"/>
  <c r="E20" i="5"/>
  <c r="D20" i="5"/>
  <c r="H18" i="5"/>
  <c r="G18" i="5"/>
  <c r="H15" i="5"/>
  <c r="G15" i="5"/>
  <c r="F15" i="5"/>
  <c r="E15" i="5"/>
  <c r="D15" i="5"/>
  <c r="H16" i="5"/>
  <c r="G16" i="5"/>
  <c r="O97" i="3"/>
  <c r="O44" i="3"/>
  <c r="O1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43" i="3"/>
  <c r="O16" i="3"/>
  <c r="O42" i="3"/>
  <c r="K98" i="3"/>
  <c r="L98" i="3"/>
  <c r="O15" i="3" l="1"/>
  <c r="O41" i="3" l="1"/>
  <c r="O46" i="3"/>
  <c r="O47" i="3"/>
  <c r="O14" i="3"/>
  <c r="K22" i="2" l="1"/>
  <c r="O40" i="3" l="1"/>
  <c r="O13" i="3"/>
  <c r="G44" i="7" l="1"/>
  <c r="O39" i="3" l="1"/>
  <c r="O12" i="3" l="1"/>
  <c r="O38" i="3" l="1"/>
  <c r="O11" i="3"/>
  <c r="O5" i="3" l="1"/>
  <c r="O6" i="3"/>
  <c r="O7" i="3"/>
  <c r="O8" i="3"/>
  <c r="O9" i="3"/>
  <c r="O10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I16" i="7" l="1"/>
  <c r="Q5" i="3" l="1"/>
  <c r="B3" i="7" l="1"/>
  <c r="D3" i="3"/>
  <c r="C3" i="2"/>
  <c r="A3" i="1"/>
  <c r="B3" i="6"/>
  <c r="B3" i="8"/>
  <c r="I6" i="8" l="1"/>
  <c r="E5" i="5" s="1"/>
  <c r="H6" i="8"/>
  <c r="D5" i="5" s="1"/>
  <c r="L5" i="8"/>
  <c r="I20" i="7" l="1"/>
  <c r="I22" i="7" l="1"/>
  <c r="H44" i="7" l="1"/>
  <c r="E10" i="5" s="1"/>
  <c r="D10" i="5"/>
  <c r="I43" i="7"/>
  <c r="I42" i="7"/>
  <c r="I41" i="7"/>
  <c r="I40" i="7"/>
  <c r="I36" i="7"/>
  <c r="I35" i="7"/>
  <c r="I34" i="7"/>
  <c r="I33" i="7"/>
  <c r="I32" i="7"/>
  <c r="I31" i="7"/>
  <c r="I30" i="7"/>
  <c r="I29" i="7"/>
  <c r="I28" i="7"/>
  <c r="I24" i="7"/>
  <c r="I23" i="7"/>
  <c r="I21" i="7"/>
  <c r="I19" i="7"/>
  <c r="I18" i="7"/>
  <c r="I17" i="7"/>
  <c r="I15" i="7"/>
  <c r="I14" i="7"/>
  <c r="I13" i="7"/>
  <c r="I12" i="7"/>
  <c r="E8" i="5"/>
  <c r="D8" i="5"/>
  <c r="H32" i="2"/>
  <c r="E9" i="5" s="1"/>
  <c r="G32" i="2"/>
  <c r="D9" i="5" s="1"/>
  <c r="K31" i="2"/>
  <c r="K29" i="2"/>
  <c r="K28" i="2"/>
  <c r="K26" i="2"/>
  <c r="K25" i="2"/>
  <c r="K24" i="2"/>
  <c r="K17" i="2"/>
  <c r="K16" i="2"/>
  <c r="K15" i="2"/>
  <c r="K14" i="2"/>
  <c r="K13" i="2"/>
  <c r="K12" i="2"/>
  <c r="K10" i="2"/>
  <c r="K9" i="2"/>
  <c r="K8" i="2"/>
  <c r="K6" i="2"/>
  <c r="K5" i="2"/>
  <c r="I28" i="1"/>
  <c r="E7" i="5" s="1"/>
  <c r="H28" i="1"/>
  <c r="D7" i="5" s="1"/>
  <c r="L27" i="1"/>
  <c r="L25" i="1"/>
  <c r="L24" i="1"/>
  <c r="L22" i="1"/>
  <c r="L21" i="1"/>
  <c r="L20" i="1"/>
  <c r="L19" i="1"/>
  <c r="L17" i="1"/>
  <c r="L16" i="1"/>
  <c r="L15" i="1"/>
  <c r="L13" i="1"/>
  <c r="L12" i="1"/>
  <c r="L11" i="1"/>
  <c r="L9" i="1"/>
  <c r="L8" i="1"/>
  <c r="L7" i="1"/>
  <c r="L6" i="1"/>
  <c r="L5" i="1"/>
  <c r="I40" i="6"/>
  <c r="E6" i="5" s="1"/>
  <c r="H40" i="6"/>
  <c r="D6" i="5" s="1"/>
  <c r="L39" i="6"/>
  <c r="L38" i="6"/>
  <c r="L37" i="6"/>
  <c r="L36" i="6"/>
  <c r="L32" i="6"/>
  <c r="L31" i="6"/>
  <c r="L30" i="6"/>
  <c r="L29" i="6"/>
  <c r="L28" i="6"/>
  <c r="L27" i="6"/>
  <c r="L26" i="6"/>
  <c r="L25" i="6"/>
  <c r="L24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D11" i="5" l="1"/>
  <c r="E11" i="5"/>
</calcChain>
</file>

<file path=xl/sharedStrings.xml><?xml version="1.0" encoding="utf-8"?>
<sst xmlns="http://schemas.openxmlformats.org/spreadsheetml/2006/main" count="607" uniqueCount="427">
  <si>
    <t xml:space="preserve">                                                     </t>
  </si>
  <si>
    <t>GHANA FIXED INCOME MARKET</t>
  </si>
  <si>
    <t>Date: Wednesday, 05 August, 2026</t>
  </si>
  <si>
    <t>ITEM</t>
  </si>
  <si>
    <t xml:space="preserve">VOLUME </t>
  </si>
  <si>
    <t>NUMBER</t>
  </si>
  <si>
    <t>SECURITY</t>
  </si>
  <si>
    <t xml:space="preserve">YIELD </t>
  </si>
  <si>
    <t xml:space="preserve">CLOSING PRICE </t>
  </si>
  <si>
    <t>A</t>
  </si>
  <si>
    <t xml:space="preserve">GRAND TOTALS </t>
  </si>
  <si>
    <t xml:space="preserve">NEW GOG NOTES &amp; BONDS </t>
  </si>
  <si>
    <t xml:space="preserve">DDEP BONDS </t>
  </si>
  <si>
    <t xml:space="preserve">OLD GOG NOTES &amp; BONDS </t>
  </si>
  <si>
    <t xml:space="preserve">TREASURY BILLS </t>
  </si>
  <si>
    <t>CORPORATE BONDS</t>
  </si>
  <si>
    <t>SELL/BUY BACK TRADES - ALL GOG NOTES &amp; BONDS</t>
  </si>
  <si>
    <t>B</t>
  </si>
  <si>
    <t>LARGEST VOLUME TRADED</t>
  </si>
  <si>
    <t>DDEP BONDS</t>
  </si>
  <si>
    <t>SELL/BUY BACK TRADES - GOG NOTES &amp; BONDS</t>
  </si>
  <si>
    <t xml:space="preserve">GHANA FIXED INCOME MARKET </t>
  </si>
  <si>
    <t>NO.</t>
  </si>
  <si>
    <t>TENOR</t>
  </si>
  <si>
    <t>SECURITY DESCRIPTION</t>
  </si>
  <si>
    <t>ISIN</t>
  </si>
  <si>
    <t>OPENING
YIELD</t>
  </si>
  <si>
    <t>CLOSING
 YIELD</t>
  </si>
  <si>
    <t>END OF DAY CLOSING
 PRICE</t>
  </si>
  <si>
    <t>VOLUME</t>
  </si>
  <si>
    <t>NUMBER 
TRADED</t>
  </si>
  <si>
    <t xml:space="preserve">DAY LOW YIELD </t>
  </si>
  <si>
    <t>DAY HIGH
 YIELD</t>
  </si>
  <si>
    <t>DAYS TO 
MATURITY</t>
  </si>
  <si>
    <t>MATURITY
DATE</t>
  </si>
  <si>
    <t>APPLICABLE
DATE</t>
  </si>
  <si>
    <t>7-YEAR BOND</t>
  </si>
  <si>
    <t>GOG-BD-29/03/33-A6155-2001-12.50</t>
  </si>
  <si>
    <t>GHGGOGI01503</t>
  </si>
  <si>
    <t>TOTAL</t>
  </si>
  <si>
    <t xml:space="preserve">THE END OF DAY CLOSING PRICES METHODOLODY APPLIES TO  GOVERNMENT NOTES, BONDS AND TREASURY BILLS </t>
  </si>
  <si>
    <t>NOTE</t>
  </si>
  <si>
    <t>1.       THE DESCRIPTION OF AN INSTRUMENT INCLUDES THE MATURITY DATE, THE ISSUE NUMBER AND THE COUPON RATE.</t>
  </si>
  <si>
    <t>3.        GOG-GOVERNMENT OF GHANA</t>
  </si>
  <si>
    <t xml:space="preserve">NO. </t>
  </si>
  <si>
    <t>2023-A-1</t>
  </si>
  <si>
    <t>GOG-BD-17/08/27-A6139-1838-10.00</t>
  </si>
  <si>
    <t>GHGGOG069873</t>
  </si>
  <si>
    <t>2023-A-2</t>
  </si>
  <si>
    <t>GOG-BD-15/08/28-A6140-1838-10.00</t>
  </si>
  <si>
    <t>GHGGOG069881</t>
  </si>
  <si>
    <t>2023-B-1</t>
  </si>
  <si>
    <t>GOG-BD-17/08/27-A6141-1838-15.00</t>
  </si>
  <si>
    <t>GHGGOG069899</t>
  </si>
  <si>
    <t>2023-B-2</t>
  </si>
  <si>
    <t>GOG-BD-15/08/28-A6142-1838-15.00</t>
  </si>
  <si>
    <t>GHGGOG069907</t>
  </si>
  <si>
    <t>2023-GC-1</t>
  </si>
  <si>
    <t>GOG-BD-16/02/27-A6143-1838-8.35</t>
  </si>
  <si>
    <t>GHGGOG069915</t>
  </si>
  <si>
    <t>2023-GC-2</t>
  </si>
  <si>
    <t>GOG-BD-15/02/28-A6144-1838-8.50</t>
  </si>
  <si>
    <t>GHGGOG069923</t>
  </si>
  <si>
    <t>2023-GC-3</t>
  </si>
  <si>
    <t>GOG-BD-13/02/29-A6145-1838-8.65</t>
  </si>
  <si>
    <t>GHGGOG069931</t>
  </si>
  <si>
    <t>2023-GC-4</t>
  </si>
  <si>
    <t>GOG-BD-12/02/30-A6146-1838-8.80</t>
  </si>
  <si>
    <t>GHGGOG069949</t>
  </si>
  <si>
    <t>2023-GC-5</t>
  </si>
  <si>
    <t>GOG-BD-11/02/31-A6147-1838-8.95</t>
  </si>
  <si>
    <t>GHGGOG069956</t>
  </si>
  <si>
    <t>2023-GC-6</t>
  </si>
  <si>
    <t>GOG-BD-10/02/32-A6148-1838-9.10</t>
  </si>
  <si>
    <t>GHGGOG069964</t>
  </si>
  <si>
    <t>2023-GC-7</t>
  </si>
  <si>
    <t>GOG-BD-08/02/33-A6149-1838-9.25</t>
  </si>
  <si>
    <t>GHGGOG069972</t>
  </si>
  <si>
    <t>2023-GC-8</t>
  </si>
  <si>
    <t>GOG-BD-07/02/34-A6150-1838-9.40</t>
  </si>
  <si>
    <t>GHGGOG069980</t>
  </si>
  <si>
    <t>2023-GC-9</t>
  </si>
  <si>
    <t>GOG-BD-06/02/35-A6151-1838-9.55</t>
  </si>
  <si>
    <t>GHGGOG069998</t>
  </si>
  <si>
    <t>2023-GC-10</t>
  </si>
  <si>
    <t>GOG-BD-05/02/36-A6152-1838-9.70</t>
  </si>
  <si>
    <t>GHGGOG070004</t>
  </si>
  <si>
    <t>2023-GC-11</t>
  </si>
  <si>
    <t>GOG-BD-03/02/37-A6153-1838-9.85</t>
  </si>
  <si>
    <t>GHGGOG070012</t>
  </si>
  <si>
    <t>2023-GC-12</t>
  </si>
  <si>
    <t>GOG-BD-02/02/38-A6154-1838-10.00</t>
  </si>
  <si>
    <t>GHGGOG070020</t>
  </si>
  <si>
    <t>GFSF-1-4YR</t>
  </si>
  <si>
    <t>GOG-BD-30/11/27-A6383-1879-8.35</t>
  </si>
  <si>
    <t>GHGGOG072760</t>
  </si>
  <si>
    <t>GFSF-7-5YR</t>
  </si>
  <si>
    <t>GOG-BD-05/12/28-A6394-1880-8.50</t>
  </si>
  <si>
    <t>GHGGOG072877</t>
  </si>
  <si>
    <t>GFSF-2-6YR</t>
  </si>
  <si>
    <t>GOG-BD-27/11/29-A6384-1879-8.65</t>
  </si>
  <si>
    <t>GHGGOG072778</t>
  </si>
  <si>
    <t>GFSF-8-8YR</t>
  </si>
  <si>
    <t>GOG-BD-02/12/31-A6396-1880-8.95</t>
  </si>
  <si>
    <t>GHGGOG072893</t>
  </si>
  <si>
    <t>GFSF-6-10YR</t>
  </si>
  <si>
    <t>GOG-BD-29/11/33-A6393-1880-9.40</t>
  </si>
  <si>
    <t>GHGGOG072869</t>
  </si>
  <si>
    <t>GFSF-10-11YR</t>
  </si>
  <si>
    <t>GOG-BD-21/11/34-A6385-1879-9.40</t>
  </si>
  <si>
    <t>GHGGOG072786</t>
  </si>
  <si>
    <t>GFSF-9-12YR</t>
  </si>
  <si>
    <t>GOG-BD-27/11/35-A6395-1880-9.55</t>
  </si>
  <si>
    <t>GHGGOG072885</t>
  </si>
  <si>
    <t>GFSF-4-13YR</t>
  </si>
  <si>
    <t>GOG-BD-25/11/36-A6391-1880-9.70</t>
  </si>
  <si>
    <t>GHGGOG072844</t>
  </si>
  <si>
    <t>GFSF-5-14YR</t>
  </si>
  <si>
    <t>GOG-BD-24/11/37-A6392-1880-9.85</t>
  </si>
  <si>
    <t>GHGGOG072851</t>
  </si>
  <si>
    <t>USD-DDE-FCA-27</t>
  </si>
  <si>
    <t>GOG-BD-04/09/27-A6304-1866-2.75</t>
  </si>
  <si>
    <t>GHGGOG071689</t>
  </si>
  <si>
    <t>USD-DDE-FCA-28</t>
  </si>
  <si>
    <t>GOG-BD-04/09/28-A6305-1866-3.25</t>
  </si>
  <si>
    <t>GHGGOG071697</t>
  </si>
  <si>
    <t>USD-DDE-FEA-27</t>
  </si>
  <si>
    <t>GOG-BD-04/09/27-A6306-1866-2.75</t>
  </si>
  <si>
    <t>GHGGOG071705</t>
  </si>
  <si>
    <t>USD-DDE-FEA-28</t>
  </si>
  <si>
    <t>GOG-BD-04/09/28-A6307-1866-3.25</t>
  </si>
  <si>
    <t>GHGGOG071713</t>
  </si>
  <si>
    <t xml:space="preserve">2.       SECURITIES COLOURED RED ARE BENCHMARK SECURITIES </t>
  </si>
  <si>
    <t xml:space="preserve">THE OLD GOG SECURITIES WERE EXCHANGED FOR THESE NEW ONES   </t>
  </si>
  <si>
    <t>5-YEAR BOND</t>
  </si>
  <si>
    <t>GOG-BD-26/08/26-A5701-1761-18.85</t>
  </si>
  <si>
    <t>GHGGOG064247</t>
  </si>
  <si>
    <t>GOG-BD-19/11/26-A5765-1772-6.00</t>
  </si>
  <si>
    <t>GHGGOG064908</t>
  </si>
  <si>
    <t>GOG-BD-14/12/26-A5789-1777-21.00</t>
  </si>
  <si>
    <t>GHGGOG065145</t>
  </si>
  <si>
    <t>GOG-BD-08/03/27-A5859-1789-20.75</t>
  </si>
  <si>
    <t>GHGGOG065921</t>
  </si>
  <si>
    <t>GOG-BD-03/05/27-A5904-1797-22.30</t>
  </si>
  <si>
    <t>GHGGOG066424</t>
  </si>
  <si>
    <t>6-YEAR BOND</t>
  </si>
  <si>
    <t>GOG-BD-18/01/27-A5531-1730-19.25</t>
  </si>
  <si>
    <t>GHGGOG062373</t>
  </si>
  <si>
    <t>GOG-BD-06/09/27-A5708-1763-18.80</t>
  </si>
  <si>
    <t>GHGGOG064312</t>
  </si>
  <si>
    <t>GOG-BD-17/01/28-A5818-1782-21.75</t>
  </si>
  <si>
    <t>GHGGOG065475</t>
  </si>
  <si>
    <t>GOG-BD-09/08/27-A5394-1707-20.00</t>
  </si>
  <si>
    <t>GHGGOG060674</t>
  </si>
  <si>
    <t>GOG-BD-08/11/27-A5471-1720-20.50</t>
  </si>
  <si>
    <t>GHGGOG061714</t>
  </si>
  <si>
    <t>GOG-BD-12/06/28-A5638-1751-18.10</t>
  </si>
  <si>
    <t>GHGGOG063546</t>
  </si>
  <si>
    <t>10-YEAR BOND</t>
  </si>
  <si>
    <t>GOG-BD-02/11/26-A4338-1511-19.00</t>
  </si>
  <si>
    <t>GHGGOG043563</t>
  </si>
  <si>
    <t>GOG-BD-29/05/28-A4753-1593-17.50</t>
  </si>
  <si>
    <t>GHGGOG050246</t>
  </si>
  <si>
    <t>GOG-BD-11/06/29-A5051-1647-19.80</t>
  </si>
  <si>
    <t>GHGGOG055922</t>
  </si>
  <si>
    <t>GOG-BD-07/07/31-A5662-1755-19.75</t>
  </si>
  <si>
    <t>GHGGOG063835</t>
  </si>
  <si>
    <t>15-YEAR BOND</t>
  </si>
  <si>
    <t>GOG-BD-15/03/32-A4430-1531-19.75</t>
  </si>
  <si>
    <t>GHGGOG044751</t>
  </si>
  <si>
    <t>GOG-BD-10/07/34-A5078-1652-20.00</t>
  </si>
  <si>
    <t>GHGGOG056458</t>
  </si>
  <si>
    <t xml:space="preserve">20-YEAR BOND </t>
  </si>
  <si>
    <t>GOG-BD-01/08/39-A5103-1656-20.20</t>
  </si>
  <si>
    <t>GHGGOG056763</t>
  </si>
  <si>
    <t>ISSUERS</t>
  </si>
  <si>
    <t>OPENING PRICE</t>
  </si>
  <si>
    <t>CLOSING PRICE</t>
  </si>
  <si>
    <t>VOLUME TRADED</t>
  </si>
  <si>
    <t>DAYS TO MATURITY</t>
  </si>
  <si>
    <t>LETSHEGO GHANA PLC</t>
  </si>
  <si>
    <t>AFB-BD-15/09/26-C0705-21.00</t>
  </si>
  <si>
    <t>GHCAFB064375</t>
  </si>
  <si>
    <t>LGH-BD-07/10/27-C0935-22.5</t>
  </si>
  <si>
    <t>GHCLGH075744</t>
  </si>
  <si>
    <t>LGH-BD-13/03/28-C0896-30.25</t>
  </si>
  <si>
    <t>GHCLGH073798</t>
  </si>
  <si>
    <t>LGH-BD-04/10/29-C0936</t>
  </si>
  <si>
    <t>GHCLGH075751</t>
  </si>
  <si>
    <t>LGH-NT-02/04/29-C0939-20</t>
  </si>
  <si>
    <t>GHCLGH077047</t>
  </si>
  <si>
    <t>LGH-NT-01/04/30-C0940</t>
  </si>
  <si>
    <t>GHCLGH077062</t>
  </si>
  <si>
    <t>BAYPORT SAVINGS AND LOANS PLC</t>
  </si>
  <si>
    <t>BFS-BD-26/06/26-C0700-21.55</t>
  </si>
  <si>
    <t>GHCBFS063609</t>
  </si>
  <si>
    <t>BFS-BD-19/0926-C2851</t>
  </si>
  <si>
    <t>GHCBFS071974</t>
  </si>
  <si>
    <t>BFS-BD-17/10/26-CO859-23.50</t>
  </si>
  <si>
    <t>GHCBFS072253</t>
  </si>
  <si>
    <t>BFS-BD-26/07/27-C0931-23.5</t>
  </si>
  <si>
    <t>GHCBFS075165</t>
  </si>
  <si>
    <t>BFS-BD-24/07/28-C0932</t>
  </si>
  <si>
    <t>GHCBFS075173</t>
  </si>
  <si>
    <t>BFS-BD-01/11/27-C0937-23.5</t>
  </si>
  <si>
    <t>GHCBFS075934</t>
  </si>
  <si>
    <t>BFS-NT-5/08/30-19</t>
  </si>
  <si>
    <t>GHGBFSI00012</t>
  </si>
  <si>
    <t>GHANA COCOA BOARD</t>
  </si>
  <si>
    <t>CMB-BD-31/08/26-A6303-1675-13.00</t>
  </si>
  <si>
    <t>GHGCMB071672</t>
  </si>
  <si>
    <t>CMB-BD-30/08/27-A6302-1675-13.00</t>
  </si>
  <si>
    <t>GHGCMB071664</t>
  </si>
  <si>
    <t>CMB-BD-28/08/28-A6301-1675-13.00</t>
  </si>
  <si>
    <t>GHGCMB071656</t>
  </si>
  <si>
    <t>IZWE SAVINVGS AND LOANS PLC</t>
  </si>
  <si>
    <t>ILL-BD-10/03/27-C0692-24.25</t>
  </si>
  <si>
    <t>GHCILL062793</t>
  </si>
  <si>
    <t>ILL-BD-8/04/26-C0830-22.25</t>
  </si>
  <si>
    <t>GHCILL070481</t>
  </si>
  <si>
    <t>ILL-BD-09/04/2027-C0906-27</t>
  </si>
  <si>
    <t>GHCILL074111</t>
  </si>
  <si>
    <t>KASAPREKO PLC</t>
  </si>
  <si>
    <t>KCP-BD-29/01/27-C0878-26</t>
  </si>
  <si>
    <t>GHCKCP073272</t>
  </si>
  <si>
    <t>KCP-NT-12/09/28-C0933-23.50</t>
  </si>
  <si>
    <t>GHCKCP075566</t>
  </si>
  <si>
    <t>QUANTUM</t>
  </si>
  <si>
    <t>QTL-BD-02/03/28-C0188-22.25</t>
  </si>
  <si>
    <t>GHCQTL048810</t>
  </si>
  <si>
    <t xml:space="preserve">THE END OF DAY CLOSING PRICES METHODOLODY APPLIES TO  GOVERNMENT NOTES, BONDS AND TREASURY BILLS NOT CORPORATE BONDS </t>
  </si>
  <si>
    <t xml:space="preserve">                 GHANA FIXED INCOME MARKET TRADING RESULTS</t>
  </si>
  <si>
    <t>DATE: MAY 07, 2021</t>
  </si>
  <si>
    <t>OPENING
PRICE</t>
  </si>
  <si>
    <t>CLOSING
PRICE</t>
  </si>
  <si>
    <t xml:space="preserve">CLOSING YIELD </t>
  </si>
  <si>
    <t>DAY LOW PRICE</t>
  </si>
  <si>
    <t>DAY HIGH
 PRICE</t>
  </si>
  <si>
    <t>91-DAY BILL</t>
  </si>
  <si>
    <t>GOG-BL-10/08/26-A7025-2006-0</t>
  </si>
  <si>
    <t>GHGGOGI01669</t>
  </si>
  <si>
    <t>GOG-BL-17/08/26-A7030-2007-0</t>
  </si>
  <si>
    <t>GHGGOGI01693</t>
  </si>
  <si>
    <t>GOG-BL-24/08/26-A7035-2008-0</t>
  </si>
  <si>
    <t>GHGGOGI01735</t>
  </si>
  <si>
    <t>GOG-BL-31/08/26-A7040-2009-0</t>
  </si>
  <si>
    <t>GHGGOGI01792</t>
  </si>
  <si>
    <t>GOG-BL-07/09/26-A7045-2010-0</t>
  </si>
  <si>
    <t>GHGGOGI01800</t>
  </si>
  <si>
    <t>GOG-BL-14/09/26-A7050-2011-0</t>
  </si>
  <si>
    <t>GHGGOGI01834</t>
  </si>
  <si>
    <t>GOG-BL-21/09/26-A7055-2012-0</t>
  </si>
  <si>
    <t>GHGGOGI01867</t>
  </si>
  <si>
    <t>GOG-BL-28/09/26-A7060-2013-0</t>
  </si>
  <si>
    <t>GHGGOGI01891</t>
  </si>
  <si>
    <t>GOG-BL-05/10/26-A7065-2014-0</t>
  </si>
  <si>
    <t>GHGGOGI01925</t>
  </si>
  <si>
    <t>GOG-BL-12/10/26-A7070-2015-0</t>
  </si>
  <si>
    <t>GHGGOGI01958</t>
  </si>
  <si>
    <t>GOG-BL-19/10/26-A7075-2016-0</t>
  </si>
  <si>
    <t>GHGGOGI01982</t>
  </si>
  <si>
    <t>GOG-BL-26/10/26-A7080-2017-0</t>
  </si>
  <si>
    <t>GHGGOGI02014</t>
  </si>
  <si>
    <t>GOG-BL-02/11/26-A7080-2018-0</t>
  </si>
  <si>
    <t>GHGGOGI02048</t>
  </si>
  <si>
    <t xml:space="preserve">182-DAY BILL </t>
  </si>
  <si>
    <t>GOG-BL-10/08/26-A6963-1993-0</t>
  </si>
  <si>
    <t>GHGGOGI01206</t>
  </si>
  <si>
    <t>GOG-BL-17/08/26-A6968-1994-0</t>
  </si>
  <si>
    <t>GHGGOGI01248</t>
  </si>
  <si>
    <t>GOG-BL-24/08/26-A6974-1995-0</t>
  </si>
  <si>
    <t>GHGGOGI01289</t>
  </si>
  <si>
    <t>GOG-BL-31/08/26-A6979-1996-0</t>
  </si>
  <si>
    <t>GHGGOGI01313</t>
  </si>
  <si>
    <t>GOG-BL-07/09/26-A6984-1997-0</t>
  </si>
  <si>
    <t>GHGGOGI01347</t>
  </si>
  <si>
    <t>GOG-BL-14/09/26-A6989-1998-0</t>
  </si>
  <si>
    <t>GHGGOGI01404</t>
  </si>
  <si>
    <t>GOG-BL-21/09/26-A6994-1999-0</t>
  </si>
  <si>
    <t>GHGGOGI01438</t>
  </si>
  <si>
    <t>GOG-BL-28/09/26-A6999-2000-0</t>
  </si>
  <si>
    <t>GHGGOGI01461</t>
  </si>
  <si>
    <t>GOG-BL-05/10/26-A7004-2001-0</t>
  </si>
  <si>
    <t>GHGGOGI01529</t>
  </si>
  <si>
    <t>GOG-BL-12/10/26-A7009-2002-0</t>
  </si>
  <si>
    <t>GHGGOGI01552</t>
  </si>
  <si>
    <t>GOG-BL-19/10/26-A7014-2003-0</t>
  </si>
  <si>
    <t>GHGGOGI01586</t>
  </si>
  <si>
    <t>GOG-BL-26/10/26-A7019-2004-0</t>
  </si>
  <si>
    <t>GHGGOGI01610</t>
  </si>
  <si>
    <t>GOG-BL-02/11/26-A7024-2005-0</t>
  </si>
  <si>
    <t>GHGGOGI01644</t>
  </si>
  <si>
    <t>GOG-BL-09/11/26-A7029-2006-0</t>
  </si>
  <si>
    <t>GHGGOGI01677</t>
  </si>
  <si>
    <t>GOG-BL-16/11/26-A7034-2007-0</t>
  </si>
  <si>
    <t>GHGGOGI01701</t>
  </si>
  <si>
    <t>GOG-BL-23/11/26-A7039-2008-0</t>
  </si>
  <si>
    <t>GHGGOGI01727</t>
  </si>
  <si>
    <t>GOG-BL-30/11/26-A7044-2009-0</t>
  </si>
  <si>
    <t>GHGGOGI01776</t>
  </si>
  <si>
    <t>GOG-BL-07/12/26-A7049-2010-0</t>
  </si>
  <si>
    <t>GHGGOGI01818</t>
  </si>
  <si>
    <t>GOG-BL-14/12/26-A7054-2011-0</t>
  </si>
  <si>
    <t>GHGGOGI01842</t>
  </si>
  <si>
    <t>GOG-BL-21/12/26-A7059-2012-0</t>
  </si>
  <si>
    <t>GHGGOGI01875</t>
  </si>
  <si>
    <t>GOG-BL-28/12/26-A7064-2013-0</t>
  </si>
  <si>
    <t>GHGGOGI01909</t>
  </si>
  <si>
    <t>GOG-BL-04/01/27-A7069-2014-0</t>
  </si>
  <si>
    <t>GHGGOGI01933</t>
  </si>
  <si>
    <t>GOG-BL-11/01/27-A7074-2015-0</t>
  </si>
  <si>
    <t>GHGGOGI01966</t>
  </si>
  <si>
    <t>GOG-BL-18/01/27-A7079-2016-0</t>
  </si>
  <si>
    <t>GHGGOGI01990</t>
  </si>
  <si>
    <t>GOG-BL-25/01/27-A7084-2017-0</t>
  </si>
  <si>
    <t>GHGGOGI02022</t>
  </si>
  <si>
    <t>GOG-BL-01/02/27-A7089-2018-0</t>
  </si>
  <si>
    <t xml:space="preserve">GHGGOGI02055 </t>
  </si>
  <si>
    <t>364-DAY BILL</t>
  </si>
  <si>
    <t>GOG-BL-10/08/26-A6829-1967-0</t>
  </si>
  <si>
    <t>GHGGOGI00398</t>
  </si>
  <si>
    <t>GOG-BL-17/08/26-A6834-1968-0</t>
  </si>
  <si>
    <t>GHGGOGI00422</t>
  </si>
  <si>
    <t>GOG-BL-24/08/26-A6839-1969-0</t>
  </si>
  <si>
    <t>GHGGOGI00455</t>
  </si>
  <si>
    <t>GOG-BL-31/08/26-A6844-1970-0</t>
  </si>
  <si>
    <t>GHGGOGI00489</t>
  </si>
  <si>
    <t>GOG-BL-07/09/26-A6849-1971-0</t>
  </si>
  <si>
    <t>GHGGOGI00513</t>
  </si>
  <si>
    <t>GOG-BL-14/09/26-A6854-1972-0</t>
  </si>
  <si>
    <t>GHGGOGI00547</t>
  </si>
  <si>
    <t>GOG-BL-21/09/26-A6860-1973-0</t>
  </si>
  <si>
    <t>GHGGOGI00570</t>
  </si>
  <si>
    <t>GOG-BL-28/09/26-A6865-1974-0</t>
  </si>
  <si>
    <t>GHGGOGI00604</t>
  </si>
  <si>
    <t>GOG-BL-05/10/26-A6872-1975-0</t>
  </si>
  <si>
    <t>GHGGOGI00646</t>
  </si>
  <si>
    <t>GOG-BL-12/10/26-A6877-1976-0</t>
  </si>
  <si>
    <t>GHGGOGI00679</t>
  </si>
  <si>
    <t>GOG-BL-19/10/26-A6882-1977-0</t>
  </si>
  <si>
    <t>GHGGOGI00703</t>
  </si>
  <si>
    <t>GOG-BL-26/10/26-A6887-1978-0</t>
  </si>
  <si>
    <t>GHGGOGI00737</t>
  </si>
  <si>
    <t>GOG-BL-02/11/26-A6892-1979-0</t>
  </si>
  <si>
    <t>GHGGOGI00786</t>
  </si>
  <si>
    <t>GOG-BL-09/11/26-A6897-1980-0</t>
  </si>
  <si>
    <t>GHGGOGI00810</t>
  </si>
  <si>
    <t>GOG-BL-16/11/26-A6909-1981-0</t>
  </si>
  <si>
    <t>GHGGOGI00844</t>
  </si>
  <si>
    <t>GOG-BL-23/11/26-A6914-1982-0</t>
  </si>
  <si>
    <t>GHGGOGI00877</t>
  </si>
  <si>
    <t>GOG-BL-30/11/26-A6919-1983-0</t>
  </si>
  <si>
    <t>GHGGOGI00901</t>
  </si>
  <si>
    <t>GOG-BL-07/12/26-A6924-1984-0</t>
  </si>
  <si>
    <t>GHGGOGI00935</t>
  </si>
  <si>
    <t>GOG-BL-14/12/26-A6929-1985-0</t>
  </si>
  <si>
    <t>GHGGOGI00976</t>
  </si>
  <si>
    <t>GOG-BL-21/12/26-A6934-1986-0</t>
  </si>
  <si>
    <t>GHGGOGI01008</t>
  </si>
  <si>
    <t>GOG-BL-28/12/26-A6939-1987-0</t>
  </si>
  <si>
    <t>GHGGOGI01032</t>
  </si>
  <si>
    <t>GOG-BL-04/01/27-A6944-1988-0</t>
  </si>
  <si>
    <t>GHGGOGI01065</t>
  </si>
  <si>
    <t>GOG-BL-11/01/27-A6949-1989-0</t>
  </si>
  <si>
    <t>GHGGOGI01099</t>
  </si>
  <si>
    <t>GOG-BL-18/01/27-A6954-1990-0</t>
  </si>
  <si>
    <t>GHGGOGI01123</t>
  </si>
  <si>
    <t>GOG-BL-25/01/27-A6959-1991-0</t>
  </si>
  <si>
    <t>GHGGOGI01156</t>
  </si>
  <si>
    <t>GOG-BL-01/02/27-A6964-1992-0</t>
  </si>
  <si>
    <t>GHGGOGI01180</t>
  </si>
  <si>
    <t>GOG-BL-08/02/27-A6969-1993-0</t>
  </si>
  <si>
    <t>GHGGOGI01214</t>
  </si>
  <si>
    <t>GOG-BL-15/02/27-A6974-1994-0</t>
  </si>
  <si>
    <t>GHGGOGI01255</t>
  </si>
  <si>
    <t>GOG-BL-22/02/27-A6979-1995-0</t>
  </si>
  <si>
    <t>GHGGOGI01297</t>
  </si>
  <si>
    <t>GOG-BL-01/03/27-A6984-1996-0</t>
  </si>
  <si>
    <t>GHGGOGI01321</t>
  </si>
  <si>
    <t>GOG-BL-08/03/27-A6989-1997-0</t>
  </si>
  <si>
    <t>GHGGOGI01354</t>
  </si>
  <si>
    <t>GOG-BL-15/03/27-A6994-1998-0</t>
  </si>
  <si>
    <t>GHGGOGI01412</t>
  </si>
  <si>
    <t>GOG-BL-22/03/27-A6999-1999-0</t>
  </si>
  <si>
    <t>GHGGOGI01446</t>
  </si>
  <si>
    <t>GOG-BL-29/03/27-A7004-2000-0</t>
  </si>
  <si>
    <t>GHGGOGI01479</t>
  </si>
  <si>
    <t>GOG-BL-05/04/27-A7009-2001-0</t>
  </si>
  <si>
    <t>GHGGOGI01537</t>
  </si>
  <si>
    <t>GOG-BL-12/04/27-A7014-2002-0</t>
  </si>
  <si>
    <t>GHGGOGI01560</t>
  </si>
  <si>
    <t>GOG-BL-19/04/27-A7019-2003-0</t>
  </si>
  <si>
    <t>GHGGOGI01594</t>
  </si>
  <si>
    <t>GOG-BL-26/04/27-A7024-2004-0</t>
  </si>
  <si>
    <t>GHGGOGI01628</t>
  </si>
  <si>
    <t>GOG-BL-03/05/27-A7029-2005-0</t>
  </si>
  <si>
    <t>GHGGOGI01651</t>
  </si>
  <si>
    <t>GOG-BL-10/05/27-A7034-2006-0</t>
  </si>
  <si>
    <t>GHGGOGI01685</t>
  </si>
  <si>
    <t>GOG-BL-17/05/27-A7039-2007-0</t>
  </si>
  <si>
    <t>GHGGOGI01719</t>
  </si>
  <si>
    <t>GOG-BL-24/05/27-A7044-2008-0</t>
  </si>
  <si>
    <t>GHGGOGI01743</t>
  </si>
  <si>
    <t>GOG-BL-31/05/27-A7049-2009-0</t>
  </si>
  <si>
    <t>GHGGOGI01784</t>
  </si>
  <si>
    <t>GOG-BL-07/06/27-A7054-2010-0</t>
  </si>
  <si>
    <t>GHGGOGI01826</t>
  </si>
  <si>
    <t>GOG-BL-14/06/27-A7059-2011-0</t>
  </si>
  <si>
    <t>GHGGOGI01859</t>
  </si>
  <si>
    <t>GOG-BL-21/06/27-A7064-2012-0</t>
  </si>
  <si>
    <t>GHGGOGI01883</t>
  </si>
  <si>
    <t>GOG-BL-28/06/27-A7069-2013-0</t>
  </si>
  <si>
    <t>GHGGOGI01917</t>
  </si>
  <si>
    <t>GOG-BL-05/07/27-A7074-2014-0</t>
  </si>
  <si>
    <t>GHGGOGI01941</t>
  </si>
  <si>
    <t>GOG-BL-12/07/27-A7079-2015-0</t>
  </si>
  <si>
    <t>GHGGOGI01974</t>
  </si>
  <si>
    <t>GOG-BL-19/07/27-A7084-2016-0</t>
  </si>
  <si>
    <t>GHGGOGI02006</t>
  </si>
  <si>
    <t>GOG-BL-26/07/27-A7089-2017-0</t>
  </si>
  <si>
    <t>GHGGOGI02030</t>
  </si>
  <si>
    <t>GOG-BL-02/08/27-A7094-2018-0</t>
  </si>
  <si>
    <t>GHGGOGI02071</t>
  </si>
  <si>
    <t>2.        GOG-GOVERNMENT OF GHANA</t>
  </si>
  <si>
    <t xml:space="preserve">WEIGHTED AVERAGE CLOSING PRICES </t>
  </si>
  <si>
    <t>NEW BONDS</t>
  </si>
  <si>
    <t xml:space="preserve">DDEP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</si>
</sst>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#.00"/>
    <numFmt numFmtId="168" formatCode="_(* #,##0_);_(* \(#,##0\);_(* &quot;-&quot;??_);_(@_)"/>
    <numFmt numFmtId="169" formatCode="0.0000"/>
    <numFmt numFmtId="170" formatCode="[$-409]dd\-mmm\-yy;@"/>
    <numFmt numFmtId="171" formatCode="_(* #,##0.0000_);_(* \(#,##0.0000\);_(* &quot;-&quot;??_);_(@_)"/>
  </numFmts>
  <fonts count="45">
    <font>
      <sz val="11"/>
      <color theme="1"/>
      <name val="Calibri"/>
      <charset val="134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7030A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2"/>
      <color rgb="FF0070C0"/>
      <name val="Arial"/>
      <family val="2"/>
    </font>
    <font>
      <b/>
      <u val="double"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Helv"/>
      <charset val="13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name val="Geneva"/>
      <charset val="134"/>
    </font>
    <font>
      <sz val="9"/>
      <name val="Geneva"/>
      <charset val="134"/>
    </font>
    <font>
      <sz val="10"/>
      <name val="MS Sans Serif"/>
      <charset val="134"/>
    </font>
    <font>
      <sz val="10"/>
      <name val="MS Sans Serif"/>
      <charset val="134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0"/>
      <name val="Helv"/>
      <charset val="134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Times New Roman"/>
      <family val="1"/>
    </font>
    <font>
      <sz val="12"/>
      <name val="Arial MT"/>
      <charset val="134"/>
    </font>
    <font>
      <sz val="11"/>
      <name val="Calibri"/>
      <family val="2"/>
    </font>
    <font>
      <sz val="11"/>
      <name val="Aptos Narrow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  <scheme val="minor"/>
    </font>
    <font>
      <sz val="11"/>
      <name val="Aptos Narrow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22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561">
    <xf numFmtId="0" fontId="0" fillId="0" borderId="0"/>
    <xf numFmtId="166" fontId="13" fillId="0" borderId="0" applyFont="0" applyFill="0" applyBorder="0" applyAlignment="0" applyProtection="0"/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8" fillId="28" borderId="44" applyNumberFormat="0" applyAlignment="0" applyProtection="0"/>
    <xf numFmtId="0" fontId="18" fillId="28" borderId="44" applyNumberFormat="0" applyAlignment="0" applyProtection="0"/>
    <xf numFmtId="0" fontId="18" fillId="28" borderId="44" applyNumberFormat="0" applyAlignment="0" applyProtection="0"/>
    <xf numFmtId="0" fontId="18" fillId="28" borderId="44" applyNumberFormat="0" applyAlignment="0" applyProtection="0"/>
    <xf numFmtId="0" fontId="18" fillId="28" borderId="44" applyNumberFormat="0" applyAlignment="0" applyProtection="0"/>
    <xf numFmtId="0" fontId="18" fillId="28" borderId="44" applyNumberFormat="0" applyAlignment="0" applyProtection="0"/>
    <xf numFmtId="0" fontId="18" fillId="28" borderId="44" applyNumberFormat="0" applyAlignment="0" applyProtection="0"/>
    <xf numFmtId="0" fontId="18" fillId="28" borderId="44" applyNumberFormat="0" applyAlignment="0" applyProtection="0"/>
    <xf numFmtId="0" fontId="18" fillId="28" borderId="44" applyNumberFormat="0" applyAlignment="0" applyProtection="0"/>
    <xf numFmtId="0" fontId="18" fillId="28" borderId="44" applyNumberFormat="0" applyAlignment="0" applyProtection="0"/>
    <xf numFmtId="0" fontId="18" fillId="28" borderId="44" applyNumberFormat="0" applyAlignment="0" applyProtection="0"/>
    <xf numFmtId="0" fontId="19" fillId="29" borderId="45" applyNumberFormat="0" applyAlignment="0" applyProtection="0"/>
    <xf numFmtId="0" fontId="19" fillId="29" borderId="45" applyNumberFormat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" fontId="2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" fontId="21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18" borderId="0" applyFont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18" borderId="0" applyFont="0" applyBorder="0" applyAlignment="0" applyProtection="0"/>
    <xf numFmtId="43" fontId="20" fillId="18" borderId="0" applyFont="0" applyBorder="0" applyAlignment="0" applyProtection="0"/>
    <xf numFmtId="43" fontId="20" fillId="18" borderId="0" applyFont="0" applyBorder="0" applyAlignment="0" applyProtection="0"/>
    <xf numFmtId="43" fontId="20" fillId="18" borderId="0" applyFont="0" applyBorder="0" applyAlignment="0" applyProtection="0"/>
    <xf numFmtId="43" fontId="20" fillId="18" borderId="0" applyFont="0" applyBorder="0" applyAlignment="0" applyProtection="0"/>
    <xf numFmtId="166" fontId="15" fillId="0" borderId="0" applyFont="0" applyFill="0" applyBorder="0" applyAlignment="0" applyProtection="0"/>
    <xf numFmtId="43" fontId="20" fillId="18" borderId="0" applyFont="0" applyBorder="0" applyAlignment="0" applyProtection="0"/>
    <xf numFmtId="43" fontId="20" fillId="18" borderId="0" applyFont="0" applyBorder="0" applyAlignment="0" applyProtection="0"/>
    <xf numFmtId="43" fontId="15" fillId="0" borderId="0" applyFont="0" applyFill="0" applyBorder="0" applyAlignment="0" applyProtection="0"/>
    <xf numFmtId="43" fontId="20" fillId="18" borderId="0" applyFont="0" applyBorder="0" applyAlignment="0" applyProtection="0"/>
    <xf numFmtId="43" fontId="20" fillId="18" borderId="0" applyFont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15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0" borderId="46" applyNumberFormat="0" applyFill="0" applyAlignment="0" applyProtection="0"/>
    <xf numFmtId="0" fontId="27" fillId="0" borderId="46" applyNumberFormat="0" applyFill="0" applyAlignment="0" applyProtection="0"/>
    <xf numFmtId="0" fontId="28" fillId="0" borderId="47" applyNumberFormat="0" applyFill="0" applyAlignment="0" applyProtection="0"/>
    <xf numFmtId="0" fontId="28" fillId="0" borderId="47" applyNumberFormat="0" applyFill="0" applyAlignment="0" applyProtection="0"/>
    <xf numFmtId="0" fontId="29" fillId="0" borderId="48" applyNumberFormat="0" applyFill="0" applyAlignment="0" applyProtection="0"/>
    <xf numFmtId="0" fontId="29" fillId="0" borderId="48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15" borderId="44" applyNumberFormat="0" applyAlignment="0" applyProtection="0"/>
    <xf numFmtId="0" fontId="30" fillId="15" borderId="44" applyNumberFormat="0" applyAlignment="0" applyProtection="0"/>
    <xf numFmtId="0" fontId="30" fillId="15" borderId="44" applyNumberFormat="0" applyAlignment="0" applyProtection="0"/>
    <xf numFmtId="0" fontId="30" fillId="15" borderId="44" applyNumberFormat="0" applyAlignment="0" applyProtection="0"/>
    <xf numFmtId="0" fontId="30" fillId="15" borderId="44" applyNumberFormat="0" applyAlignment="0" applyProtection="0"/>
    <xf numFmtId="0" fontId="30" fillId="15" borderId="44" applyNumberFormat="0" applyAlignment="0" applyProtection="0"/>
    <xf numFmtId="0" fontId="30" fillId="15" borderId="44" applyNumberFormat="0" applyAlignment="0" applyProtection="0"/>
    <xf numFmtId="0" fontId="30" fillId="15" borderId="44" applyNumberFormat="0" applyAlignment="0" applyProtection="0"/>
    <xf numFmtId="0" fontId="30" fillId="15" borderId="44" applyNumberFormat="0" applyAlignment="0" applyProtection="0"/>
    <xf numFmtId="0" fontId="30" fillId="15" borderId="44" applyNumberFormat="0" applyAlignment="0" applyProtection="0"/>
    <xf numFmtId="0" fontId="30" fillId="15" borderId="44" applyNumberFormat="0" applyAlignment="0" applyProtection="0"/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2" fillId="0" borderId="49" applyNumberFormat="0" applyFill="0" applyAlignment="0" applyProtection="0"/>
    <xf numFmtId="0" fontId="32" fillId="0" borderId="49" applyNumberFormat="0" applyFill="0" applyAlignment="0" applyProtection="0"/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167" fontId="14" fillId="0" borderId="10" applyAlignment="0">
      <alignment horizontal="right"/>
    </xf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0" fillId="0" borderId="0"/>
    <xf numFmtId="0" fontId="20" fillId="0" borderId="0"/>
    <xf numFmtId="0" fontId="2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0" fillId="0" borderId="0"/>
    <xf numFmtId="0" fontId="20" fillId="0" borderId="0"/>
    <xf numFmtId="0" fontId="2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20" fillId="0" borderId="0"/>
    <xf numFmtId="0" fontId="20" fillId="0" borderId="0"/>
    <xf numFmtId="0" fontId="20" fillId="0" borderId="0"/>
    <xf numFmtId="0" fontId="14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20" fillId="31" borderId="50" applyNumberFormat="0" applyFont="0" applyAlignment="0" applyProtection="0"/>
    <xf numFmtId="0" fontId="20" fillId="31" borderId="50" applyNumberFormat="0" applyFont="0" applyAlignment="0" applyProtection="0"/>
    <xf numFmtId="0" fontId="20" fillId="31" borderId="50" applyNumberFormat="0" applyFont="0" applyAlignment="0" applyProtection="0"/>
    <xf numFmtId="0" fontId="20" fillId="31" borderId="50" applyNumberFormat="0" applyFont="0" applyAlignment="0" applyProtection="0"/>
    <xf numFmtId="0" fontId="20" fillId="31" borderId="50" applyNumberFormat="0" applyFont="0" applyAlignment="0" applyProtection="0"/>
    <xf numFmtId="0" fontId="20" fillId="31" borderId="50" applyNumberFormat="0" applyFont="0" applyAlignment="0" applyProtection="0"/>
    <xf numFmtId="0" fontId="20" fillId="31" borderId="50" applyNumberFormat="0" applyFont="0" applyAlignment="0" applyProtection="0"/>
    <xf numFmtId="0" fontId="20" fillId="31" borderId="50" applyNumberFormat="0" applyFont="0" applyAlignment="0" applyProtection="0"/>
    <xf numFmtId="0" fontId="20" fillId="31" borderId="50" applyNumberFormat="0" applyFont="0" applyAlignment="0" applyProtection="0"/>
    <xf numFmtId="0" fontId="20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15" fillId="31" borderId="50" applyNumberFormat="0" applyFont="0" applyAlignment="0" applyProtection="0"/>
    <xf numFmtId="0" fontId="39" fillId="28" borderId="51" applyNumberFormat="0" applyAlignment="0" applyProtection="0"/>
    <xf numFmtId="0" fontId="39" fillId="28" borderId="51" applyNumberFormat="0" applyAlignment="0" applyProtection="0"/>
    <xf numFmtId="0" fontId="39" fillId="28" borderId="51" applyNumberFormat="0" applyAlignment="0" applyProtection="0"/>
    <xf numFmtId="0" fontId="39" fillId="28" borderId="51" applyNumberFormat="0" applyAlignment="0" applyProtection="0"/>
    <xf numFmtId="0" fontId="39" fillId="28" borderId="51" applyNumberFormat="0" applyAlignment="0" applyProtection="0"/>
    <xf numFmtId="0" fontId="39" fillId="28" borderId="51" applyNumberFormat="0" applyAlignment="0" applyProtection="0"/>
    <xf numFmtId="0" fontId="39" fillId="28" borderId="51" applyNumberFormat="0" applyAlignment="0" applyProtection="0"/>
    <xf numFmtId="0" fontId="39" fillId="28" borderId="51" applyNumberFormat="0" applyAlignment="0" applyProtection="0"/>
    <xf numFmtId="0" fontId="39" fillId="28" borderId="51" applyNumberFormat="0" applyAlignment="0" applyProtection="0"/>
    <xf numFmtId="9" fontId="21" fillId="0" borderId="0" applyFont="0" applyFill="0" applyBorder="0" applyAlignment="0" applyProtection="0"/>
    <xf numFmtId="0" fontId="31" fillId="0" borderId="52" applyNumberFormat="0" applyFill="0">
      <alignment horizontal="left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1" fillId="0" borderId="53" applyNumberFormat="0" applyFill="0" applyBorder="0">
      <alignment horizontal="center" vertical="top" wrapText="1"/>
    </xf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4" fillId="0" borderId="0"/>
  </cellStyleXfs>
  <cellXfs count="28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168" fontId="3" fillId="0" borderId="0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68" fontId="3" fillId="0" borderId="0" xfId="1" applyNumberFormat="1" applyFont="1" applyBorder="1"/>
    <xf numFmtId="168" fontId="3" fillId="0" borderId="0" xfId="1" applyNumberFormat="1" applyFont="1" applyAlignment="1">
      <alignment horizontal="center"/>
    </xf>
    <xf numFmtId="168" fontId="3" fillId="0" borderId="0" xfId="1" applyNumberFormat="1" applyFont="1"/>
    <xf numFmtId="0" fontId="2" fillId="0" borderId="0" xfId="0" applyFont="1" applyAlignment="1">
      <alignment horizontal="right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168" fontId="4" fillId="0" borderId="16" xfId="1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169" fontId="5" fillId="0" borderId="10" xfId="0" applyNumberFormat="1" applyFont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3" fontId="5" fillId="0" borderId="10" xfId="0" applyNumberFormat="1" applyFont="1" applyBorder="1" applyAlignment="1">
      <alignment horizontal="right"/>
    </xf>
    <xf numFmtId="169" fontId="5" fillId="0" borderId="10" xfId="322" applyNumberFormat="1" applyFont="1" applyBorder="1" applyAlignment="1">
      <alignment horizontal="center"/>
    </xf>
    <xf numFmtId="168" fontId="5" fillId="0" borderId="10" xfId="1" applyNumberFormat="1" applyFont="1" applyBorder="1" applyAlignment="1">
      <alignment horizontal="right"/>
    </xf>
    <xf numFmtId="168" fontId="5" fillId="0" borderId="10" xfId="322" applyNumberFormat="1" applyFont="1" applyBorder="1" applyAlignment="1">
      <alignment horizontal="right"/>
    </xf>
    <xf numFmtId="1" fontId="5" fillId="0" borderId="10" xfId="0" applyNumberFormat="1" applyFont="1" applyBorder="1" applyAlignment="1">
      <alignment horizontal="center"/>
    </xf>
    <xf numFmtId="168" fontId="5" fillId="0" borderId="0" xfId="1" applyNumberFormat="1" applyFont="1"/>
    <xf numFmtId="168" fontId="5" fillId="0" borderId="10" xfId="1" applyNumberFormat="1" applyFont="1" applyBorder="1"/>
    <xf numFmtId="168" fontId="5" fillId="0" borderId="17" xfId="1" applyNumberFormat="1" applyFont="1" applyBorder="1"/>
    <xf numFmtId="169" fontId="5" fillId="0" borderId="13" xfId="0" applyNumberFormat="1" applyFont="1" applyBorder="1" applyAlignment="1">
      <alignment horizontal="center"/>
    </xf>
    <xf numFmtId="169" fontId="5" fillId="0" borderId="13" xfId="322" applyNumberFormat="1" applyFont="1" applyBorder="1" applyAlignment="1">
      <alignment horizontal="center"/>
    </xf>
    <xf numFmtId="168" fontId="5" fillId="0" borderId="13" xfId="1" applyNumberFormat="1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8" fontId="3" fillId="0" borderId="14" xfId="1" applyNumberFormat="1" applyFont="1" applyBorder="1"/>
    <xf numFmtId="0" fontId="6" fillId="0" borderId="0" xfId="0" applyFont="1"/>
    <xf numFmtId="169" fontId="2" fillId="0" borderId="0" xfId="0" applyNumberFormat="1" applyFont="1"/>
    <xf numFmtId="1" fontId="3" fillId="0" borderId="9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169" fontId="2" fillId="0" borderId="0" xfId="1" applyNumberFormat="1" applyFont="1" applyAlignment="1">
      <alignment horizontal="center"/>
    </xf>
    <xf numFmtId="0" fontId="3" fillId="0" borderId="0" xfId="0" applyFont="1"/>
    <xf numFmtId="166" fontId="3" fillId="0" borderId="0" xfId="1" applyFont="1"/>
    <xf numFmtId="169" fontId="3" fillId="0" borderId="0" xfId="1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9" fontId="3" fillId="6" borderId="16" xfId="1" applyNumberFormat="1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169" fontId="5" fillId="0" borderId="17" xfId="0" applyNumberFormat="1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169" fontId="3" fillId="0" borderId="26" xfId="1" applyNumberFormat="1" applyFont="1" applyBorder="1" applyAlignment="1">
      <alignment horizontal="center"/>
    </xf>
    <xf numFmtId="166" fontId="4" fillId="0" borderId="16" xfId="1" applyFont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3" fontId="5" fillId="0" borderId="17" xfId="0" applyNumberFormat="1" applyFont="1" applyBorder="1" applyAlignment="1">
      <alignment horizontal="right"/>
    </xf>
    <xf numFmtId="3" fontId="5" fillId="0" borderId="17" xfId="0" applyNumberFormat="1" applyFont="1" applyBorder="1" applyAlignment="1">
      <alignment horizontal="center"/>
    </xf>
    <xf numFmtId="168" fontId="3" fillId="0" borderId="26" xfId="1" applyNumberFormat="1" applyFont="1" applyBorder="1"/>
    <xf numFmtId="166" fontId="3" fillId="0" borderId="0" xfId="1" applyFont="1" applyBorder="1"/>
    <xf numFmtId="0" fontId="2" fillId="0" borderId="15" xfId="0" applyFont="1" applyBorder="1"/>
    <xf numFmtId="0" fontId="3" fillId="0" borderId="27" xfId="0" applyFont="1" applyBorder="1" applyAlignment="1">
      <alignment horizontal="center"/>
    </xf>
    <xf numFmtId="0" fontId="3" fillId="0" borderId="28" xfId="0" applyFont="1" applyBorder="1"/>
    <xf numFmtId="0" fontId="3" fillId="0" borderId="29" xfId="0" applyFont="1" applyBorder="1" applyAlignment="1">
      <alignment horizontal="center"/>
    </xf>
    <xf numFmtId="169" fontId="5" fillId="0" borderId="10" xfId="1" applyNumberFormat="1" applyFont="1" applyBorder="1" applyAlignment="1">
      <alignment horizontal="center"/>
    </xf>
    <xf numFmtId="169" fontId="5" fillId="0" borderId="13" xfId="1" applyNumberFormat="1" applyFont="1" applyBorder="1" applyAlignment="1">
      <alignment horizontal="center"/>
    </xf>
    <xf numFmtId="169" fontId="3" fillId="0" borderId="0" xfId="0" applyNumberFormat="1" applyFont="1" applyAlignment="1">
      <alignment horizontal="center" vertical="center"/>
    </xf>
    <xf numFmtId="169" fontId="4" fillId="3" borderId="16" xfId="0" applyNumberFormat="1" applyFont="1" applyFill="1" applyBorder="1" applyAlignment="1">
      <alignment horizontal="center" vertical="center" wrapText="1"/>
    </xf>
    <xf numFmtId="169" fontId="3" fillId="8" borderId="16" xfId="0" applyNumberFormat="1" applyFont="1" applyFill="1" applyBorder="1" applyAlignment="1">
      <alignment horizontal="center" vertical="center" wrapText="1"/>
    </xf>
    <xf numFmtId="168" fontId="5" fillId="0" borderId="17" xfId="1" applyNumberFormat="1" applyFont="1" applyBorder="1" applyAlignment="1">
      <alignment horizontal="right"/>
    </xf>
    <xf numFmtId="168" fontId="5" fillId="0" borderId="10" xfId="1" applyNumberFormat="1" applyFont="1" applyBorder="1" applyAlignment="1">
      <alignment horizontal="center"/>
    </xf>
    <xf numFmtId="169" fontId="5" fillId="0" borderId="24" xfId="0" applyNumberFormat="1" applyFont="1" applyBorder="1" applyAlignment="1">
      <alignment horizontal="center"/>
    </xf>
    <xf numFmtId="169" fontId="5" fillId="0" borderId="18" xfId="0" applyNumberFormat="1" applyFont="1" applyBorder="1" applyAlignment="1">
      <alignment horizontal="center"/>
    </xf>
    <xf numFmtId="168" fontId="5" fillId="0" borderId="17" xfId="1" applyNumberFormat="1" applyFont="1" applyBorder="1" applyAlignment="1">
      <alignment horizontal="center"/>
    </xf>
    <xf numFmtId="168" fontId="5" fillId="0" borderId="10" xfId="322" applyNumberFormat="1" applyFont="1" applyBorder="1" applyAlignment="1">
      <alignment horizontal="center"/>
    </xf>
    <xf numFmtId="168" fontId="5" fillId="0" borderId="17" xfId="322" applyNumberFormat="1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169" fontId="5" fillId="0" borderId="17" xfId="1" applyNumberFormat="1" applyFont="1" applyBorder="1" applyAlignment="1">
      <alignment horizontal="center"/>
    </xf>
    <xf numFmtId="169" fontId="5" fillId="0" borderId="31" xfId="0" applyNumberFormat="1" applyFont="1" applyBorder="1" applyAlignment="1">
      <alignment horizontal="center"/>
    </xf>
    <xf numFmtId="171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6" borderId="34" xfId="0" applyFont="1" applyFill="1" applyBorder="1" applyAlignment="1">
      <alignment horizontal="center" vertical="center" wrapText="1"/>
    </xf>
    <xf numFmtId="0" fontId="3" fillId="7" borderId="34" xfId="0" applyFont="1" applyFill="1" applyBorder="1" applyAlignment="1">
      <alignment horizontal="center" vertical="center" wrapText="1"/>
    </xf>
    <xf numFmtId="166" fontId="4" fillId="0" borderId="34" xfId="1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169" fontId="5" fillId="0" borderId="19" xfId="1" applyNumberFormat="1" applyFont="1" applyBorder="1" applyAlignment="1">
      <alignment horizontal="center"/>
    </xf>
    <xf numFmtId="169" fontId="5" fillId="0" borderId="30" xfId="1" applyNumberFormat="1" applyFont="1" applyBorder="1" applyAlignment="1">
      <alignment horizontal="center"/>
    </xf>
    <xf numFmtId="1" fontId="5" fillId="0" borderId="17" xfId="1" applyNumberFormat="1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166" fontId="3" fillId="0" borderId="17" xfId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66" fontId="3" fillId="0" borderId="19" xfId="1" applyFont="1" applyBorder="1"/>
    <xf numFmtId="0" fontId="3" fillId="0" borderId="24" xfId="0" applyFont="1" applyBorder="1" applyAlignment="1">
      <alignment horizontal="center"/>
    </xf>
    <xf numFmtId="0" fontId="8" fillId="0" borderId="10" xfId="1505" applyFont="1" applyBorder="1"/>
    <xf numFmtId="166" fontId="3" fillId="0" borderId="10" xfId="1" applyFont="1" applyBorder="1" applyAlignment="1">
      <alignment horizontal="center"/>
    </xf>
    <xf numFmtId="0" fontId="3" fillId="0" borderId="28" xfId="0" applyFont="1" applyBorder="1" applyAlignment="1">
      <alignment horizontal="center" vertical="center"/>
    </xf>
    <xf numFmtId="168" fontId="3" fillId="0" borderId="20" xfId="1" applyNumberFormat="1" applyFont="1" applyBorder="1" applyAlignment="1">
      <alignment horizontal="center"/>
    </xf>
    <xf numFmtId="171" fontId="3" fillId="0" borderId="0" xfId="1" applyNumberFormat="1" applyFont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15" fontId="8" fillId="0" borderId="40" xfId="1506" applyNumberFormat="1" applyFont="1" applyBorder="1" applyAlignment="1">
      <alignment horizontal="right"/>
    </xf>
    <xf numFmtId="15" fontId="8" fillId="0" borderId="17" xfId="1506" applyNumberFormat="1" applyFont="1" applyBorder="1" applyAlignment="1">
      <alignment horizontal="right"/>
    </xf>
    <xf numFmtId="15" fontId="8" fillId="0" borderId="0" xfId="1506" applyNumberFormat="1" applyFont="1" applyAlignment="1">
      <alignment horizontal="right"/>
    </xf>
    <xf numFmtId="15" fontId="8" fillId="0" borderId="10" xfId="1506" applyNumberFormat="1" applyFont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left"/>
    </xf>
    <xf numFmtId="0" fontId="9" fillId="0" borderId="9" xfId="0" applyFont="1" applyBorder="1" applyAlignment="1">
      <alignment horizontal="center"/>
    </xf>
    <xf numFmtId="169" fontId="5" fillId="0" borderId="30" xfId="0" applyNumberFormat="1" applyFont="1" applyBorder="1" applyAlignment="1">
      <alignment horizontal="center"/>
    </xf>
    <xf numFmtId="168" fontId="5" fillId="0" borderId="0" xfId="1" applyNumberFormat="1" applyFont="1" applyAlignment="1">
      <alignment horizontal="right"/>
    </xf>
    <xf numFmtId="169" fontId="5" fillId="0" borderId="19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69" fontId="5" fillId="0" borderId="41" xfId="0" applyNumberFormat="1" applyFont="1" applyBorder="1" applyAlignment="1">
      <alignment horizontal="center"/>
    </xf>
    <xf numFmtId="0" fontId="3" fillId="0" borderId="3" xfId="0" applyFont="1" applyBorder="1"/>
    <xf numFmtId="0" fontId="3" fillId="0" borderId="42" xfId="0" applyFont="1" applyBorder="1"/>
    <xf numFmtId="168" fontId="4" fillId="0" borderId="43" xfId="1" applyNumberFormat="1" applyFont="1" applyBorder="1" applyAlignment="1">
      <alignment horizontal="center"/>
    </xf>
    <xf numFmtId="0" fontId="3" fillId="9" borderId="16" xfId="0" applyFont="1" applyFill="1" applyBorder="1" applyAlignment="1">
      <alignment horizontal="center" vertical="center" wrapText="1"/>
    </xf>
    <xf numFmtId="15" fontId="8" fillId="0" borderId="0" xfId="1507" applyNumberFormat="1" applyFont="1" applyAlignment="1">
      <alignment horizontal="right"/>
    </xf>
    <xf numFmtId="1" fontId="5" fillId="0" borderId="31" xfId="0" applyNumberFormat="1" applyFont="1" applyBorder="1" applyAlignment="1">
      <alignment horizontal="center"/>
    </xf>
    <xf numFmtId="1" fontId="3" fillId="0" borderId="25" xfId="0" applyNumberFormat="1" applyFont="1" applyBorder="1" applyAlignment="1">
      <alignment horizontal="center"/>
    </xf>
    <xf numFmtId="0" fontId="11" fillId="0" borderId="14" xfId="0" applyFont="1" applyBorder="1"/>
    <xf numFmtId="0" fontId="7" fillId="0" borderId="1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169" fontId="9" fillId="0" borderId="0" xfId="1485" applyNumberFormat="1" applyFont="1" applyAlignment="1">
      <alignment horizontal="right"/>
    </xf>
    <xf numFmtId="169" fontId="5" fillId="0" borderId="13" xfId="1" applyNumberFormat="1" applyFont="1" applyBorder="1" applyAlignment="1">
      <alignment horizontal="right"/>
    </xf>
    <xf numFmtId="0" fontId="3" fillId="0" borderId="0" xfId="0" applyFont="1" applyAlignment="1">
      <alignment wrapText="1"/>
    </xf>
    <xf numFmtId="168" fontId="5" fillId="0" borderId="30" xfId="1" applyNumberFormat="1" applyFont="1" applyBorder="1" applyAlignment="1">
      <alignment horizontal="center"/>
    </xf>
    <xf numFmtId="1" fontId="5" fillId="0" borderId="30" xfId="1" applyNumberFormat="1" applyFont="1" applyBorder="1" applyAlignment="1">
      <alignment horizontal="center"/>
    </xf>
    <xf numFmtId="169" fontId="5" fillId="0" borderId="10" xfId="1" applyNumberFormat="1" applyFont="1" applyFill="1" applyBorder="1" applyAlignment="1">
      <alignment horizontal="center"/>
    </xf>
    <xf numFmtId="169" fontId="5" fillId="0" borderId="17" xfId="1" applyNumberFormat="1" applyFont="1" applyFill="1" applyBorder="1" applyAlignment="1">
      <alignment horizontal="center"/>
    </xf>
    <xf numFmtId="0" fontId="3" fillId="0" borderId="26" xfId="0" applyFont="1" applyBorder="1"/>
    <xf numFmtId="2" fontId="9" fillId="0" borderId="9" xfId="1485" applyNumberFormat="1" applyFont="1" applyBorder="1" applyAlignment="1">
      <alignment horizontal="center"/>
    </xf>
    <xf numFmtId="169" fontId="9" fillId="0" borderId="9" xfId="1485" applyNumberFormat="1" applyFont="1" applyBorder="1" applyAlignment="1">
      <alignment horizontal="right"/>
    </xf>
    <xf numFmtId="166" fontId="3" fillId="0" borderId="10" xfId="1" applyFont="1" applyBorder="1"/>
    <xf numFmtId="0" fontId="1" fillId="0" borderId="9" xfId="0" applyFont="1" applyBorder="1" applyAlignment="1">
      <alignment horizontal="center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1" fontId="1" fillId="0" borderId="0" xfId="0" applyNumberFormat="1" applyFont="1"/>
    <xf numFmtId="2" fontId="1" fillId="0" borderId="0" xfId="0" applyNumberFormat="1" applyFont="1"/>
    <xf numFmtId="168" fontId="1" fillId="0" borderId="9" xfId="1" applyNumberFormat="1" applyFont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1" fillId="0" borderId="19" xfId="0" applyFont="1" applyBorder="1" applyAlignment="1">
      <alignment horizontal="left"/>
    </xf>
    <xf numFmtId="0" fontId="1" fillId="0" borderId="0" xfId="0" applyFont="1" applyAlignment="1">
      <alignment vertical="top"/>
    </xf>
    <xf numFmtId="169" fontId="1" fillId="0" borderId="0" xfId="0" applyNumberFormat="1" applyFont="1"/>
    <xf numFmtId="168" fontId="1" fillId="0" borderId="0" xfId="1" applyNumberFormat="1" applyFont="1"/>
    <xf numFmtId="14" fontId="1" fillId="0" borderId="0" xfId="0" applyNumberFormat="1" applyFont="1"/>
    <xf numFmtId="0" fontId="1" fillId="0" borderId="36" xfId="0" applyFont="1" applyBorder="1"/>
    <xf numFmtId="0" fontId="1" fillId="0" borderId="2" xfId="0" applyFont="1" applyBorder="1"/>
    <xf numFmtId="0" fontId="1" fillId="0" borderId="14" xfId="0" applyFont="1" applyBorder="1"/>
    <xf numFmtId="0" fontId="1" fillId="0" borderId="0" xfId="0" applyFont="1" applyAlignment="1">
      <alignment horizontal="right"/>
    </xf>
    <xf numFmtId="166" fontId="1" fillId="0" borderId="0" xfId="1" applyFont="1"/>
    <xf numFmtId="168" fontId="1" fillId="0" borderId="0" xfId="0" applyNumberFormat="1" applyFont="1"/>
    <xf numFmtId="0" fontId="1" fillId="0" borderId="9" xfId="0" applyFont="1" applyBorder="1" applyAlignment="1">
      <alignment horizontal="left"/>
    </xf>
    <xf numFmtId="0" fontId="1" fillId="0" borderId="9" xfId="0" quotePrefix="1" applyFont="1" applyBorder="1" applyAlignment="1">
      <alignment horizontal="center"/>
    </xf>
    <xf numFmtId="170" fontId="1" fillId="0" borderId="0" xfId="0" applyNumberFormat="1" applyFont="1"/>
    <xf numFmtId="0" fontId="1" fillId="0" borderId="12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170" fontId="1" fillId="0" borderId="13" xfId="0" applyNumberFormat="1" applyFont="1" applyBorder="1" applyAlignment="1">
      <alignment horizontal="right"/>
    </xf>
    <xf numFmtId="0" fontId="1" fillId="0" borderId="19" xfId="0" applyFont="1" applyBorder="1"/>
    <xf numFmtId="0" fontId="1" fillId="0" borderId="20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20" xfId="0" applyFont="1" applyBorder="1" applyAlignment="1">
      <alignment horizontal="right"/>
    </xf>
    <xf numFmtId="14" fontId="1" fillId="0" borderId="9" xfId="0" applyNumberFormat="1" applyFont="1" applyBorder="1"/>
    <xf numFmtId="0" fontId="1" fillId="0" borderId="17" xfId="0" applyFont="1" applyBorder="1"/>
    <xf numFmtId="0" fontId="1" fillId="0" borderId="17" xfId="0" applyFont="1" applyBorder="1" applyAlignment="1">
      <alignment horizontal="center"/>
    </xf>
    <xf numFmtId="15" fontId="1" fillId="0" borderId="39" xfId="0" applyNumberFormat="1" applyFont="1" applyBorder="1" applyAlignment="1">
      <alignment horizontal="right"/>
    </xf>
    <xf numFmtId="0" fontId="1" fillId="0" borderId="28" xfId="0" applyFont="1" applyBorder="1"/>
    <xf numFmtId="169" fontId="1" fillId="0" borderId="30" xfId="1" applyNumberFormat="1" applyFont="1" applyBorder="1" applyAlignment="1">
      <alignment horizontal="center"/>
    </xf>
    <xf numFmtId="15" fontId="1" fillId="0" borderId="17" xfId="0" applyNumberFormat="1" applyFont="1" applyBorder="1" applyAlignment="1">
      <alignment horizontal="right"/>
    </xf>
    <xf numFmtId="0" fontId="1" fillId="0" borderId="9" xfId="0" applyFont="1" applyBorder="1"/>
    <xf numFmtId="0" fontId="1" fillId="0" borderId="24" xfId="0" applyFont="1" applyBorder="1"/>
    <xf numFmtId="1" fontId="1" fillId="0" borderId="17" xfId="0" applyNumberFormat="1" applyFont="1" applyBorder="1" applyAlignment="1">
      <alignment horizontal="center"/>
    </xf>
    <xf numFmtId="14" fontId="1" fillId="0" borderId="10" xfId="0" applyNumberFormat="1" applyFont="1" applyBorder="1"/>
    <xf numFmtId="0" fontId="1" fillId="0" borderId="10" xfId="0" applyFont="1" applyBorder="1" applyAlignment="1">
      <alignment horizontal="center"/>
    </xf>
    <xf numFmtId="0" fontId="1" fillId="0" borderId="13" xfId="0" applyFont="1" applyBorder="1"/>
    <xf numFmtId="169" fontId="1" fillId="0" borderId="19" xfId="1" applyNumberFormat="1" applyFont="1" applyBorder="1" applyAlignment="1">
      <alignment horizontal="center"/>
    </xf>
    <xf numFmtId="169" fontId="1" fillId="0" borderId="13" xfId="1" applyNumberFormat="1" applyFont="1" applyBorder="1" applyAlignment="1">
      <alignment horizontal="center"/>
    </xf>
    <xf numFmtId="15" fontId="1" fillId="0" borderId="13" xfId="0" applyNumberFormat="1" applyFont="1" applyBorder="1" applyAlignment="1">
      <alignment horizontal="right"/>
    </xf>
    <xf numFmtId="14" fontId="1" fillId="0" borderId="13" xfId="0" applyNumberFormat="1" applyFont="1" applyBorder="1"/>
    <xf numFmtId="0" fontId="1" fillId="0" borderId="35" xfId="0" applyFont="1" applyBorder="1"/>
    <xf numFmtId="166" fontId="1" fillId="0" borderId="36" xfId="1" applyFont="1" applyBorder="1"/>
    <xf numFmtId="171" fontId="1" fillId="0" borderId="20" xfId="1" applyNumberFormat="1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5" xfId="0" applyFont="1" applyBorder="1"/>
    <xf numFmtId="171" fontId="1" fillId="0" borderId="0" xfId="1" applyNumberFormat="1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170" fontId="1" fillId="0" borderId="17" xfId="0" applyNumberFormat="1" applyFont="1" applyBorder="1" applyAlignment="1">
      <alignment horizontal="center"/>
    </xf>
    <xf numFmtId="170" fontId="1" fillId="0" borderId="13" xfId="0" applyNumberFormat="1" applyFont="1" applyBorder="1" applyAlignment="1">
      <alignment horizontal="center"/>
    </xf>
    <xf numFmtId="0" fontId="1" fillId="0" borderId="10" xfId="0" applyFont="1" applyBorder="1"/>
    <xf numFmtId="169" fontId="1" fillId="0" borderId="10" xfId="0" applyNumberFormat="1" applyFont="1" applyBorder="1"/>
    <xf numFmtId="15" fontId="1" fillId="0" borderId="10" xfId="0" applyNumberFormat="1" applyFont="1" applyBorder="1" applyAlignment="1">
      <alignment horizontal="center"/>
    </xf>
    <xf numFmtId="15" fontId="1" fillId="0" borderId="17" xfId="0" applyNumberFormat="1" applyFont="1" applyBorder="1" applyAlignment="1">
      <alignment horizontal="center"/>
    </xf>
    <xf numFmtId="0" fontId="1" fillId="0" borderId="15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/>
    <xf numFmtId="169" fontId="1" fillId="0" borderId="26" xfId="0" applyNumberFormat="1" applyFont="1" applyBorder="1"/>
    <xf numFmtId="169" fontId="1" fillId="0" borderId="0" xfId="1" applyNumberFormat="1" applyFont="1" applyBorder="1" applyAlignment="1">
      <alignment horizontal="center"/>
    </xf>
    <xf numFmtId="170" fontId="1" fillId="0" borderId="10" xfId="0" applyNumberFormat="1" applyFont="1" applyBorder="1" applyAlignment="1">
      <alignment horizontal="right"/>
    </xf>
    <xf numFmtId="1" fontId="1" fillId="0" borderId="13" xfId="0" applyNumberFormat="1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2" xfId="0" applyFont="1" applyBorder="1"/>
    <xf numFmtId="3" fontId="5" fillId="0" borderId="31" xfId="0" applyNumberFormat="1" applyFont="1" applyBorder="1" applyAlignment="1">
      <alignment horizontal="center"/>
    </xf>
    <xf numFmtId="170" fontId="1" fillId="0" borderId="31" xfId="0" applyNumberFormat="1" applyFont="1" applyBorder="1" applyAlignment="1">
      <alignment horizontal="center"/>
    </xf>
    <xf numFmtId="169" fontId="1" fillId="0" borderId="0" xfId="1" applyNumberFormat="1" applyFont="1" applyAlignment="1">
      <alignment horizontal="center"/>
    </xf>
    <xf numFmtId="3" fontId="5" fillId="0" borderId="10" xfId="0" applyNumberFormat="1" applyFont="1" applyBorder="1" applyAlignment="1">
      <alignment horizontal="center"/>
    </xf>
    <xf numFmtId="0" fontId="5" fillId="0" borderId="30" xfId="1" applyNumberFormat="1" applyFont="1" applyBorder="1" applyAlignment="1">
      <alignment horizontal="center"/>
    </xf>
    <xf numFmtId="0" fontId="3" fillId="0" borderId="55" xfId="0" applyFont="1" applyBorder="1" applyAlignment="1">
      <alignment horizontal="center" vertical="center"/>
    </xf>
    <xf numFmtId="0" fontId="3" fillId="6" borderId="55" xfId="0" applyFont="1" applyFill="1" applyBorder="1" applyAlignment="1">
      <alignment horizontal="center" vertical="center" wrapText="1"/>
    </xf>
    <xf numFmtId="0" fontId="3" fillId="4" borderId="55" xfId="0" applyFont="1" applyFill="1" applyBorder="1" applyAlignment="1">
      <alignment horizontal="center" vertical="center" wrapText="1"/>
    </xf>
    <xf numFmtId="0" fontId="3" fillId="5" borderId="55" xfId="0" applyFont="1" applyFill="1" applyBorder="1" applyAlignment="1">
      <alignment horizontal="center" vertical="center" wrapText="1"/>
    </xf>
    <xf numFmtId="0" fontId="3" fillId="0" borderId="55" xfId="0" applyFont="1" applyBorder="1" applyAlignment="1">
      <alignment horizontal="center"/>
    </xf>
    <xf numFmtId="0" fontId="1" fillId="0" borderId="55" xfId="0" applyFont="1" applyBorder="1"/>
    <xf numFmtId="168" fontId="1" fillId="0" borderId="55" xfId="1" applyNumberFormat="1" applyFont="1" applyBorder="1" applyAlignment="1">
      <alignment horizontal="right"/>
    </xf>
    <xf numFmtId="169" fontId="5" fillId="0" borderId="55" xfId="0" applyNumberFormat="1" applyFont="1" applyBorder="1" applyAlignment="1">
      <alignment horizontal="center"/>
    </xf>
    <xf numFmtId="169" fontId="5" fillId="0" borderId="55" xfId="1" applyNumberFormat="1" applyFont="1" applyBorder="1" applyAlignment="1">
      <alignment horizontal="center"/>
    </xf>
    <xf numFmtId="168" fontId="1" fillId="0" borderId="55" xfId="1" applyNumberFormat="1" applyFont="1" applyBorder="1"/>
    <xf numFmtId="0" fontId="1" fillId="0" borderId="55" xfId="0" applyFont="1" applyBorder="1" applyAlignment="1">
      <alignment horizontal="left"/>
    </xf>
    <xf numFmtId="168" fontId="12" fillId="0" borderId="55" xfId="1" applyNumberFormat="1" applyFont="1" applyBorder="1" applyAlignment="1">
      <alignment horizontal="right"/>
    </xf>
    <xf numFmtId="168" fontId="1" fillId="0" borderId="55" xfId="0" applyNumberFormat="1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3" fontId="1" fillId="0" borderId="55" xfId="1" applyNumberFormat="1" applyFont="1" applyBorder="1"/>
    <xf numFmtId="0" fontId="1" fillId="0" borderId="55" xfId="1" applyNumberFormat="1" applyFont="1" applyBorder="1"/>
    <xf numFmtId="2" fontId="1" fillId="0" borderId="55" xfId="0" applyNumberFormat="1" applyFont="1" applyBorder="1" applyAlignment="1">
      <alignment horizontal="center"/>
    </xf>
    <xf numFmtId="169" fontId="9" fillId="0" borderId="55" xfId="0" applyNumberFormat="1" applyFont="1" applyBorder="1" applyAlignment="1">
      <alignment horizontal="right"/>
    </xf>
    <xf numFmtId="3" fontId="9" fillId="0" borderId="55" xfId="1" applyNumberFormat="1" applyFont="1" applyBorder="1" applyAlignment="1">
      <alignment horizontal="right"/>
    </xf>
    <xf numFmtId="0" fontId="9" fillId="0" borderId="55" xfId="1" applyNumberFormat="1" applyFont="1" applyBorder="1" applyAlignment="1">
      <alignment horizontal="right"/>
    </xf>
    <xf numFmtId="0" fontId="9" fillId="0" borderId="55" xfId="1485" applyFont="1" applyBorder="1" applyAlignment="1">
      <alignment horizontal="left"/>
    </xf>
    <xf numFmtId="2" fontId="9" fillId="0" borderId="55" xfId="1485" applyNumberFormat="1" applyFont="1" applyBorder="1" applyAlignment="1">
      <alignment horizontal="center"/>
    </xf>
    <xf numFmtId="3" fontId="1" fillId="0" borderId="55" xfId="0" applyNumberFormat="1" applyFont="1" applyBorder="1" applyAlignment="1">
      <alignment horizontal="right"/>
    </xf>
    <xf numFmtId="3" fontId="1" fillId="0" borderId="55" xfId="0" applyNumberFormat="1" applyFont="1" applyBorder="1" applyAlignment="1">
      <alignment horizontal="left"/>
    </xf>
    <xf numFmtId="0" fontId="9" fillId="0" borderId="55" xfId="0" applyFont="1" applyBorder="1" applyAlignment="1">
      <alignment horizontal="right"/>
    </xf>
    <xf numFmtId="168" fontId="1" fillId="0" borderId="55" xfId="1" applyNumberFormat="1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169" fontId="5" fillId="0" borderId="55" xfId="322" applyNumberFormat="1" applyFont="1" applyBorder="1" applyAlignment="1">
      <alignment horizontal="center"/>
    </xf>
    <xf numFmtId="168" fontId="5" fillId="0" borderId="55" xfId="322" applyNumberFormat="1" applyFont="1" applyBorder="1" applyAlignment="1">
      <alignment horizontal="right"/>
    </xf>
    <xf numFmtId="0" fontId="5" fillId="0" borderId="55" xfId="0" applyFont="1" applyBorder="1" applyAlignment="1">
      <alignment horizontal="center"/>
    </xf>
    <xf numFmtId="1" fontId="1" fillId="0" borderId="55" xfId="0" applyNumberFormat="1" applyFont="1" applyBorder="1" applyAlignment="1">
      <alignment horizontal="center"/>
    </xf>
    <xf numFmtId="15" fontId="9" fillId="0" borderId="55" xfId="1507" applyNumberFormat="1" applyFont="1" applyBorder="1" applyAlignment="1">
      <alignment horizontal="right"/>
    </xf>
    <xf numFmtId="14" fontId="1" fillId="0" borderId="57" xfId="0" applyNumberFormat="1" applyFont="1" applyBorder="1"/>
    <xf numFmtId="168" fontId="5" fillId="0" borderId="55" xfId="1" applyNumberFormat="1" applyFont="1" applyBorder="1" applyAlignment="1">
      <alignment horizontal="right"/>
    </xf>
    <xf numFmtId="170" fontId="1" fillId="0" borderId="55" xfId="0" applyNumberFormat="1" applyFont="1" applyBorder="1" applyAlignment="1">
      <alignment horizontal="right"/>
    </xf>
    <xf numFmtId="1" fontId="5" fillId="0" borderId="55" xfId="0" applyNumberFormat="1" applyFont="1" applyBorder="1" applyAlignment="1">
      <alignment horizontal="center"/>
    </xf>
    <xf numFmtId="169" fontId="5" fillId="0" borderId="55" xfId="322" applyNumberFormat="1" applyFont="1" applyFill="1" applyBorder="1" applyAlignment="1">
      <alignment horizontal="center"/>
    </xf>
    <xf numFmtId="15" fontId="8" fillId="0" borderId="55" xfId="1507" applyNumberFormat="1" applyFont="1" applyBorder="1" applyAlignment="1">
      <alignment horizontal="right"/>
    </xf>
    <xf numFmtId="3" fontId="5" fillId="0" borderId="55" xfId="0" applyNumberFormat="1" applyFont="1" applyBorder="1" applyAlignment="1">
      <alignment horizontal="right"/>
    </xf>
    <xf numFmtId="3" fontId="5" fillId="0" borderId="55" xfId="0" applyNumberFormat="1" applyFont="1" applyBorder="1" applyAlignment="1">
      <alignment horizontal="center"/>
    </xf>
    <xf numFmtId="14" fontId="10" fillId="0" borderId="57" xfId="0" applyNumberFormat="1" applyFont="1" applyBorder="1"/>
    <xf numFmtId="0" fontId="9" fillId="0" borderId="58" xfId="1506" applyFont="1" applyBorder="1"/>
    <xf numFmtId="0" fontId="8" fillId="0" borderId="55" xfId="1506" applyFont="1" applyBorder="1"/>
    <xf numFmtId="168" fontId="3" fillId="0" borderId="55" xfId="1" applyNumberFormat="1" applyFont="1" applyBorder="1" applyAlignment="1">
      <alignment horizontal="center"/>
    </xf>
    <xf numFmtId="15" fontId="1" fillId="0" borderId="57" xfId="0" applyNumberFormat="1" applyFont="1" applyBorder="1" applyAlignment="1">
      <alignment horizontal="right"/>
    </xf>
    <xf numFmtId="168" fontId="5" fillId="0" borderId="55" xfId="1" applyNumberFormat="1" applyFont="1" applyBorder="1" applyAlignment="1">
      <alignment horizontal="center"/>
    </xf>
    <xf numFmtId="15" fontId="1" fillId="0" borderId="55" xfId="0" applyNumberFormat="1" applyFont="1" applyBorder="1" applyAlignment="1">
      <alignment horizontal="right"/>
    </xf>
    <xf numFmtId="0" fontId="3" fillId="0" borderId="55" xfId="0" applyFont="1" applyBorder="1"/>
    <xf numFmtId="169" fontId="1" fillId="0" borderId="55" xfId="1" applyNumberFormat="1" applyFont="1" applyBorder="1" applyAlignment="1">
      <alignment horizontal="center"/>
    </xf>
    <xf numFmtId="1" fontId="5" fillId="0" borderId="59" xfId="0" applyNumberFormat="1" applyFont="1" applyBorder="1" applyAlignment="1">
      <alignment horizontal="center"/>
    </xf>
    <xf numFmtId="0" fontId="3" fillId="0" borderId="60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28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wrapText="1"/>
    </xf>
    <xf numFmtId="0" fontId="1" fillId="0" borderId="55" xfId="0" applyNumberFormat="1" applyFont="1" applyBorder="1" applyAlignment="1">
      <alignment horizontal="right"/>
    </xf>
  </cellXfs>
  <cellStyles count="1561">
    <cellStyle name="# million" xfId="2" xr:uid="{00000000-0005-0000-0000-000031000000}"/>
    <cellStyle name="# million 2" xfId="3" xr:uid="{00000000-0005-0000-0000-000032000000}"/>
    <cellStyle name="# million 2 2" xfId="4" xr:uid="{00000000-0005-0000-0000-000033000000}"/>
    <cellStyle name="# million 2 2 2" xfId="5" xr:uid="{00000000-0005-0000-0000-000034000000}"/>
    <cellStyle name="# million 2 2 2 2" xfId="6" xr:uid="{00000000-0005-0000-0000-000035000000}"/>
    <cellStyle name="# million 2 2 2 2 2" xfId="7" xr:uid="{00000000-0005-0000-0000-000036000000}"/>
    <cellStyle name="# million 2 2 2 2 2 2" xfId="8" xr:uid="{00000000-0005-0000-0000-000037000000}"/>
    <cellStyle name="# million 2 2 3" xfId="9" xr:uid="{00000000-0005-0000-0000-000038000000}"/>
    <cellStyle name="# million 2 2 3 2" xfId="10" xr:uid="{00000000-0005-0000-0000-000039000000}"/>
    <cellStyle name="# million 2 2 3 2 2" xfId="11" xr:uid="{00000000-0005-0000-0000-00003A000000}"/>
    <cellStyle name="# million 2 2_Cover Page (r)" xfId="12" xr:uid="{00000000-0005-0000-0000-00003B000000}"/>
    <cellStyle name="# million 2 3" xfId="13" xr:uid="{00000000-0005-0000-0000-00003C000000}"/>
    <cellStyle name="# million 2 3 2" xfId="14" xr:uid="{00000000-0005-0000-0000-00003D000000}"/>
    <cellStyle name="# million 2 3 2 2" xfId="15" xr:uid="{00000000-0005-0000-0000-00003E000000}"/>
    <cellStyle name="# million 2 3 2 2 2" xfId="16" xr:uid="{00000000-0005-0000-0000-00003F000000}"/>
    <cellStyle name="# million 2_Cover Page (r)" xfId="17" xr:uid="{00000000-0005-0000-0000-000040000000}"/>
    <cellStyle name="# million 3" xfId="18" xr:uid="{00000000-0005-0000-0000-000041000000}"/>
    <cellStyle name="# million 3 2" xfId="19" xr:uid="{00000000-0005-0000-0000-000042000000}"/>
    <cellStyle name="# million 3 2 2" xfId="20" xr:uid="{00000000-0005-0000-0000-000043000000}"/>
    <cellStyle name="# million 3 2 2 2" xfId="21" xr:uid="{00000000-0005-0000-0000-000044000000}"/>
    <cellStyle name="# million 3 2 2 2 2" xfId="22" xr:uid="{00000000-0005-0000-0000-000045000000}"/>
    <cellStyle name="# million 3 2 2 2 2 2" xfId="23" xr:uid="{00000000-0005-0000-0000-000046000000}"/>
    <cellStyle name="# million 3 2_Cover Page (r)" xfId="24" xr:uid="{00000000-0005-0000-0000-000047000000}"/>
    <cellStyle name="# million 3 3" xfId="25" xr:uid="{00000000-0005-0000-0000-000048000000}"/>
    <cellStyle name="# million 3 3 2" xfId="26" xr:uid="{00000000-0005-0000-0000-000049000000}"/>
    <cellStyle name="# million 3 3 2 2" xfId="27" xr:uid="{00000000-0005-0000-0000-00004A000000}"/>
    <cellStyle name="# million 3 3 2 2 2" xfId="28" xr:uid="{00000000-0005-0000-0000-00004B000000}"/>
    <cellStyle name="# million 3_Cover Page (r)" xfId="29" xr:uid="{00000000-0005-0000-0000-00004C000000}"/>
    <cellStyle name="# million 4" xfId="30" xr:uid="{00000000-0005-0000-0000-00004D000000}"/>
    <cellStyle name="# million 4 2" xfId="31" xr:uid="{00000000-0005-0000-0000-00004E000000}"/>
    <cellStyle name="# million 4 2 2" xfId="32" xr:uid="{00000000-0005-0000-0000-00004F000000}"/>
    <cellStyle name="# million 4 2 2 2" xfId="33" xr:uid="{00000000-0005-0000-0000-000050000000}"/>
    <cellStyle name="# million_Cover Page (r)" xfId="34" xr:uid="{00000000-0005-0000-0000-000051000000}"/>
    <cellStyle name="#.## million" xfId="35" xr:uid="{00000000-0005-0000-0000-000052000000}"/>
    <cellStyle name="#.## million 2" xfId="36" xr:uid="{00000000-0005-0000-0000-000053000000}"/>
    <cellStyle name="#.## million 2 2" xfId="37" xr:uid="{00000000-0005-0000-0000-000054000000}"/>
    <cellStyle name="#.## million 2 2 2" xfId="38" xr:uid="{00000000-0005-0000-0000-000055000000}"/>
    <cellStyle name="#.## million 2 2 2 2" xfId="39" xr:uid="{00000000-0005-0000-0000-000056000000}"/>
    <cellStyle name="#.## million 2 2 2 2 2" xfId="40" xr:uid="{00000000-0005-0000-0000-000057000000}"/>
    <cellStyle name="#.## million 2 2 2 2 2 2" xfId="41" xr:uid="{00000000-0005-0000-0000-000058000000}"/>
    <cellStyle name="#.## million 2 2 3" xfId="42" xr:uid="{00000000-0005-0000-0000-000059000000}"/>
    <cellStyle name="#.## million 2 2 3 2" xfId="43" xr:uid="{00000000-0005-0000-0000-00005A000000}"/>
    <cellStyle name="#.## million 2 2 3 2 2" xfId="44" xr:uid="{00000000-0005-0000-0000-00005B000000}"/>
    <cellStyle name="#.## million 2 2_Cover Page (r)" xfId="45" xr:uid="{00000000-0005-0000-0000-00005C000000}"/>
    <cellStyle name="#.## million 2 3" xfId="46" xr:uid="{00000000-0005-0000-0000-00005D000000}"/>
    <cellStyle name="#.## million 2 3 2" xfId="47" xr:uid="{00000000-0005-0000-0000-00005E000000}"/>
    <cellStyle name="#.## million 2 3 2 2" xfId="48" xr:uid="{00000000-0005-0000-0000-00005F000000}"/>
    <cellStyle name="#.## million 2 3 2 2 2" xfId="49" xr:uid="{00000000-0005-0000-0000-000060000000}"/>
    <cellStyle name="#.## million 2_Cover Page (r)" xfId="50" xr:uid="{00000000-0005-0000-0000-000061000000}"/>
    <cellStyle name="#.## million 3" xfId="51" xr:uid="{00000000-0005-0000-0000-000062000000}"/>
    <cellStyle name="#.## million 3 2" xfId="52" xr:uid="{00000000-0005-0000-0000-000063000000}"/>
    <cellStyle name="#.## million 3 2 2" xfId="53" xr:uid="{00000000-0005-0000-0000-000064000000}"/>
    <cellStyle name="#.## million 3 2 2 2" xfId="54" xr:uid="{00000000-0005-0000-0000-000065000000}"/>
    <cellStyle name="#.## million 3 2 2 2 2" xfId="55" xr:uid="{00000000-0005-0000-0000-000066000000}"/>
    <cellStyle name="#.## million 3 2 2 2 2 2" xfId="56" xr:uid="{00000000-0005-0000-0000-000067000000}"/>
    <cellStyle name="#.## million 3 2_Cover Page (r)" xfId="57" xr:uid="{00000000-0005-0000-0000-000068000000}"/>
    <cellStyle name="#.## million 3 3" xfId="58" xr:uid="{00000000-0005-0000-0000-000069000000}"/>
    <cellStyle name="#.## million 3 3 2" xfId="59" xr:uid="{00000000-0005-0000-0000-00006A000000}"/>
    <cellStyle name="#.## million 3 3 2 2" xfId="60" xr:uid="{00000000-0005-0000-0000-00006B000000}"/>
    <cellStyle name="#.## million 3 3 2 2 2" xfId="61" xr:uid="{00000000-0005-0000-0000-00006C000000}"/>
    <cellStyle name="#.## million 3_Cover Page (r)" xfId="62" xr:uid="{00000000-0005-0000-0000-00006D000000}"/>
    <cellStyle name="#.## million 4" xfId="63" xr:uid="{00000000-0005-0000-0000-00006E000000}"/>
    <cellStyle name="#.## million 4 2" xfId="64" xr:uid="{00000000-0005-0000-0000-00006F000000}"/>
    <cellStyle name="#.## million 4 2 2" xfId="65" xr:uid="{00000000-0005-0000-0000-000070000000}"/>
    <cellStyle name="#.## million 4 2 2 2" xfId="66" xr:uid="{00000000-0005-0000-0000-000071000000}"/>
    <cellStyle name="#.## million_Cover Page (r)" xfId="67" xr:uid="{00000000-0005-0000-0000-000072000000}"/>
    <cellStyle name="20% - Accent1 2" xfId="68" xr:uid="{00000000-0005-0000-0000-000073000000}"/>
    <cellStyle name="20% - Accent1 3" xfId="69" xr:uid="{00000000-0005-0000-0000-000074000000}"/>
    <cellStyle name="20% - Accent1 4" xfId="70" xr:uid="{00000000-0005-0000-0000-000075000000}"/>
    <cellStyle name="20% - Accent2 2" xfId="71" xr:uid="{00000000-0005-0000-0000-000076000000}"/>
    <cellStyle name="20% - Accent2 3" xfId="72" xr:uid="{00000000-0005-0000-0000-000077000000}"/>
    <cellStyle name="20% - Accent2 4" xfId="73" xr:uid="{00000000-0005-0000-0000-000078000000}"/>
    <cellStyle name="20% - Accent3 2" xfId="74" xr:uid="{00000000-0005-0000-0000-000079000000}"/>
    <cellStyle name="20% - Accent3 3" xfId="75" xr:uid="{00000000-0005-0000-0000-00007A000000}"/>
    <cellStyle name="20% - Accent3 4" xfId="76" xr:uid="{00000000-0005-0000-0000-00007B000000}"/>
    <cellStyle name="20% - Accent4 2" xfId="77" xr:uid="{00000000-0005-0000-0000-00007C000000}"/>
    <cellStyle name="20% - Accent4 3" xfId="78" xr:uid="{00000000-0005-0000-0000-00007D000000}"/>
    <cellStyle name="20% - Accent4 4" xfId="79" xr:uid="{00000000-0005-0000-0000-00007E000000}"/>
    <cellStyle name="20% - Accent5 2" xfId="80" xr:uid="{00000000-0005-0000-0000-00007F000000}"/>
    <cellStyle name="20% - Accent5 3" xfId="81" xr:uid="{00000000-0005-0000-0000-000080000000}"/>
    <cellStyle name="20% - Accent5 4" xfId="82" xr:uid="{00000000-0005-0000-0000-000081000000}"/>
    <cellStyle name="20% - Accent6 2" xfId="83" xr:uid="{00000000-0005-0000-0000-000082000000}"/>
    <cellStyle name="20% - Accent6 3" xfId="84" xr:uid="{00000000-0005-0000-0000-000083000000}"/>
    <cellStyle name="20% - Accent6 4" xfId="85" xr:uid="{00000000-0005-0000-0000-000084000000}"/>
    <cellStyle name="40% - Accent1 2" xfId="86" xr:uid="{00000000-0005-0000-0000-000085000000}"/>
    <cellStyle name="40% - Accent1 3" xfId="87" xr:uid="{00000000-0005-0000-0000-000086000000}"/>
    <cellStyle name="40% - Accent1 4" xfId="88" xr:uid="{00000000-0005-0000-0000-000087000000}"/>
    <cellStyle name="40% - Accent2 2" xfId="89" xr:uid="{00000000-0005-0000-0000-000088000000}"/>
    <cellStyle name="40% - Accent2 3" xfId="90" xr:uid="{00000000-0005-0000-0000-000089000000}"/>
    <cellStyle name="40% - Accent2 4" xfId="91" xr:uid="{00000000-0005-0000-0000-00008A000000}"/>
    <cellStyle name="40% - Accent3 2" xfId="92" xr:uid="{00000000-0005-0000-0000-00008B000000}"/>
    <cellStyle name="40% - Accent3 3" xfId="93" xr:uid="{00000000-0005-0000-0000-00008C000000}"/>
    <cellStyle name="40% - Accent3 4" xfId="94" xr:uid="{00000000-0005-0000-0000-00008D000000}"/>
    <cellStyle name="40% - Accent4 2" xfId="95" xr:uid="{00000000-0005-0000-0000-00008E000000}"/>
    <cellStyle name="40% - Accent4 3" xfId="96" xr:uid="{00000000-0005-0000-0000-00008F000000}"/>
    <cellStyle name="40% - Accent4 4" xfId="97" xr:uid="{00000000-0005-0000-0000-000090000000}"/>
    <cellStyle name="40% - Accent5 2" xfId="98" xr:uid="{00000000-0005-0000-0000-000091000000}"/>
    <cellStyle name="40% - Accent5 3" xfId="99" xr:uid="{00000000-0005-0000-0000-000092000000}"/>
    <cellStyle name="40% - Accent5 4" xfId="100" xr:uid="{00000000-0005-0000-0000-000093000000}"/>
    <cellStyle name="40% - Accent6 2" xfId="101" xr:uid="{00000000-0005-0000-0000-000094000000}"/>
    <cellStyle name="40% - Accent6 3" xfId="102" xr:uid="{00000000-0005-0000-0000-000095000000}"/>
    <cellStyle name="40% - Accent6 4" xfId="103" xr:uid="{00000000-0005-0000-0000-000096000000}"/>
    <cellStyle name="60% - Accent1 2" xfId="104" xr:uid="{00000000-0005-0000-0000-000097000000}"/>
    <cellStyle name="60% - Accent1 3" xfId="105" xr:uid="{00000000-0005-0000-0000-000098000000}"/>
    <cellStyle name="60% - Accent2 2" xfId="106" xr:uid="{00000000-0005-0000-0000-000099000000}"/>
    <cellStyle name="60% - Accent2 3" xfId="107" xr:uid="{00000000-0005-0000-0000-00009A000000}"/>
    <cellStyle name="60% - Accent3 2" xfId="108" xr:uid="{00000000-0005-0000-0000-00009B000000}"/>
    <cellStyle name="60% - Accent3 3" xfId="109" xr:uid="{00000000-0005-0000-0000-00009C000000}"/>
    <cellStyle name="60% - Accent4 2" xfId="110" xr:uid="{00000000-0005-0000-0000-00009D000000}"/>
    <cellStyle name="60% - Accent4 3" xfId="111" xr:uid="{00000000-0005-0000-0000-00009E000000}"/>
    <cellStyle name="60% - Accent5 2" xfId="112" xr:uid="{00000000-0005-0000-0000-00009F000000}"/>
    <cellStyle name="60% - Accent5 3" xfId="113" xr:uid="{00000000-0005-0000-0000-0000A0000000}"/>
    <cellStyle name="60% - Accent6 2" xfId="114" xr:uid="{00000000-0005-0000-0000-0000A1000000}"/>
    <cellStyle name="60% - Accent6 3" xfId="115" xr:uid="{00000000-0005-0000-0000-0000A2000000}"/>
    <cellStyle name="Accent1 2" xfId="116" xr:uid="{00000000-0005-0000-0000-0000A3000000}"/>
    <cellStyle name="Accent1 3" xfId="117" xr:uid="{00000000-0005-0000-0000-0000A4000000}"/>
    <cellStyle name="Accent2 2" xfId="118" xr:uid="{00000000-0005-0000-0000-0000A5000000}"/>
    <cellStyle name="Accent2 3" xfId="119" xr:uid="{00000000-0005-0000-0000-0000A6000000}"/>
    <cellStyle name="Accent3 2" xfId="120" xr:uid="{00000000-0005-0000-0000-0000A7000000}"/>
    <cellStyle name="Accent3 3" xfId="121" xr:uid="{00000000-0005-0000-0000-0000A8000000}"/>
    <cellStyle name="Accent4 2" xfId="122" xr:uid="{00000000-0005-0000-0000-0000A9000000}"/>
    <cellStyle name="Accent4 3" xfId="123" xr:uid="{00000000-0005-0000-0000-0000AA000000}"/>
    <cellStyle name="Accent5 2" xfId="124" xr:uid="{00000000-0005-0000-0000-0000AB000000}"/>
    <cellStyle name="Accent5 3" xfId="125" xr:uid="{00000000-0005-0000-0000-0000AC000000}"/>
    <cellStyle name="Accent6 2" xfId="126" xr:uid="{00000000-0005-0000-0000-0000AD000000}"/>
    <cellStyle name="Accent6 3" xfId="127" xr:uid="{00000000-0005-0000-0000-0000AE000000}"/>
    <cellStyle name="Bad 2" xfId="128" xr:uid="{00000000-0005-0000-0000-0000AF000000}"/>
    <cellStyle name="Bad 3" xfId="129" xr:uid="{00000000-0005-0000-0000-0000B0000000}"/>
    <cellStyle name="Calculation 2" xfId="130" xr:uid="{00000000-0005-0000-0000-0000B1000000}"/>
    <cellStyle name="Calculation 2 2" xfId="131" xr:uid="{00000000-0005-0000-0000-0000B2000000}"/>
    <cellStyle name="Calculation 2 2 2" xfId="132" xr:uid="{00000000-0005-0000-0000-0000B3000000}"/>
    <cellStyle name="Calculation 2 2_Cover Page (r)" xfId="133" xr:uid="{00000000-0005-0000-0000-0000B4000000}"/>
    <cellStyle name="Calculation 2 3" xfId="134" xr:uid="{00000000-0005-0000-0000-0000B5000000}"/>
    <cellStyle name="Calculation 2_Cover Page (r)" xfId="135" xr:uid="{00000000-0005-0000-0000-0000B6000000}"/>
    <cellStyle name="Calculation 3" xfId="136" xr:uid="{00000000-0005-0000-0000-0000B7000000}"/>
    <cellStyle name="Calculation 3 2" xfId="137" xr:uid="{00000000-0005-0000-0000-0000B8000000}"/>
    <cellStyle name="Calculation 3_Cover Page (r)" xfId="138" xr:uid="{00000000-0005-0000-0000-0000B9000000}"/>
    <cellStyle name="Calculation 4" xfId="139" xr:uid="{00000000-0005-0000-0000-0000BA000000}"/>
    <cellStyle name="Calculation 5" xfId="140" xr:uid="{00000000-0005-0000-0000-0000BB000000}"/>
    <cellStyle name="Check Cell 2" xfId="141" xr:uid="{00000000-0005-0000-0000-0000BC000000}"/>
    <cellStyle name="Check Cell 3" xfId="142" xr:uid="{00000000-0005-0000-0000-0000BD000000}"/>
    <cellStyle name="Comma" xfId="1" builtinId="3"/>
    <cellStyle name="Comma 10" xfId="143" xr:uid="{00000000-0005-0000-0000-0000BE000000}"/>
    <cellStyle name="Comma 10 2" xfId="144" xr:uid="{00000000-0005-0000-0000-0000BF000000}"/>
    <cellStyle name="Comma 10 2 2" xfId="145" xr:uid="{00000000-0005-0000-0000-0000C0000000}"/>
    <cellStyle name="Comma 10 3" xfId="146" xr:uid="{00000000-0005-0000-0000-0000C1000000}"/>
    <cellStyle name="Comma 10 3 2" xfId="147" xr:uid="{00000000-0005-0000-0000-0000C2000000}"/>
    <cellStyle name="Comma 10 4" xfId="148" xr:uid="{00000000-0005-0000-0000-0000C3000000}"/>
    <cellStyle name="Comma 11" xfId="149" xr:uid="{00000000-0005-0000-0000-0000C4000000}"/>
    <cellStyle name="Comma 11 2" xfId="150" xr:uid="{00000000-0005-0000-0000-0000C5000000}"/>
    <cellStyle name="Comma 11 2 2" xfId="151" xr:uid="{00000000-0005-0000-0000-0000C6000000}"/>
    <cellStyle name="Comma 11 3" xfId="152" xr:uid="{00000000-0005-0000-0000-0000C7000000}"/>
    <cellStyle name="Comma 12" xfId="153" xr:uid="{00000000-0005-0000-0000-0000C8000000}"/>
    <cellStyle name="Comma 12 2" xfId="154" xr:uid="{00000000-0005-0000-0000-0000C9000000}"/>
    <cellStyle name="Comma 12 2 2" xfId="155" xr:uid="{00000000-0005-0000-0000-0000CA000000}"/>
    <cellStyle name="Comma 12 2 2 2" xfId="156" xr:uid="{00000000-0005-0000-0000-0000CB000000}"/>
    <cellStyle name="Comma 12 2 2 2 2" xfId="157" xr:uid="{00000000-0005-0000-0000-0000CC000000}"/>
    <cellStyle name="Comma 12 2 2 2 2 2" xfId="158" xr:uid="{00000000-0005-0000-0000-0000CD000000}"/>
    <cellStyle name="Comma 12 2 2 2 2 2 2" xfId="159" xr:uid="{00000000-0005-0000-0000-0000CE000000}"/>
    <cellStyle name="Comma 12 2 2 2 2 2 2 2" xfId="160" xr:uid="{00000000-0005-0000-0000-0000CF000000}"/>
    <cellStyle name="Comma 12 2 2 2 2 2 3" xfId="161" xr:uid="{00000000-0005-0000-0000-0000D0000000}"/>
    <cellStyle name="Comma 12 2 2 2 2 3" xfId="162" xr:uid="{00000000-0005-0000-0000-0000D1000000}"/>
    <cellStyle name="Comma 12 2 2 2 2 3 2" xfId="163" xr:uid="{00000000-0005-0000-0000-0000D2000000}"/>
    <cellStyle name="Comma 12 2 2 2 2 4" xfId="164" xr:uid="{00000000-0005-0000-0000-0000D3000000}"/>
    <cellStyle name="Comma 12 2 2 2 3" xfId="165" xr:uid="{00000000-0005-0000-0000-0000D4000000}"/>
    <cellStyle name="Comma 12 2 2 2 3 2" xfId="166" xr:uid="{00000000-0005-0000-0000-0000D5000000}"/>
    <cellStyle name="Comma 12 2 2 2 3 2 2" xfId="167" xr:uid="{00000000-0005-0000-0000-0000D6000000}"/>
    <cellStyle name="Comma 12 2 2 2 3 3" xfId="168" xr:uid="{00000000-0005-0000-0000-0000D7000000}"/>
    <cellStyle name="Comma 12 2 2 2 4" xfId="169" xr:uid="{00000000-0005-0000-0000-0000D8000000}"/>
    <cellStyle name="Comma 12 2 2 2 4 2" xfId="170" xr:uid="{00000000-0005-0000-0000-0000D9000000}"/>
    <cellStyle name="Comma 12 2 2 2 5" xfId="171" xr:uid="{00000000-0005-0000-0000-0000DA000000}"/>
    <cellStyle name="Comma 12 2 2 3" xfId="172" xr:uid="{00000000-0005-0000-0000-0000DB000000}"/>
    <cellStyle name="Comma 12 2 2 3 2" xfId="173" xr:uid="{00000000-0005-0000-0000-0000DC000000}"/>
    <cellStyle name="Comma 12 2 2 3 2 2" xfId="174" xr:uid="{00000000-0005-0000-0000-0000DD000000}"/>
    <cellStyle name="Comma 12 2 2 3 2 2 2" xfId="175" xr:uid="{00000000-0005-0000-0000-0000DE000000}"/>
    <cellStyle name="Comma 12 2 2 3 2 3" xfId="176" xr:uid="{00000000-0005-0000-0000-0000DF000000}"/>
    <cellStyle name="Comma 12 2 2 3 3" xfId="177" xr:uid="{00000000-0005-0000-0000-0000E0000000}"/>
    <cellStyle name="Comma 12 2 2 3 3 2" xfId="178" xr:uid="{00000000-0005-0000-0000-0000E1000000}"/>
    <cellStyle name="Comma 12 2 2 3 4" xfId="179" xr:uid="{00000000-0005-0000-0000-0000E2000000}"/>
    <cellStyle name="Comma 12 2 2 4" xfId="180" xr:uid="{00000000-0005-0000-0000-0000E3000000}"/>
    <cellStyle name="Comma 12 2 2 4 2" xfId="181" xr:uid="{00000000-0005-0000-0000-0000E4000000}"/>
    <cellStyle name="Comma 12 2 2 4 2 2" xfId="182" xr:uid="{00000000-0005-0000-0000-0000E5000000}"/>
    <cellStyle name="Comma 12 2 2 4 3" xfId="183" xr:uid="{00000000-0005-0000-0000-0000E6000000}"/>
    <cellStyle name="Comma 12 2 2 5" xfId="184" xr:uid="{00000000-0005-0000-0000-0000E7000000}"/>
    <cellStyle name="Comma 12 2 2 5 2" xfId="185" xr:uid="{00000000-0005-0000-0000-0000E8000000}"/>
    <cellStyle name="Comma 12 2 2 6" xfId="186" xr:uid="{00000000-0005-0000-0000-0000E9000000}"/>
    <cellStyle name="Comma 12 2 3" xfId="187" xr:uid="{00000000-0005-0000-0000-0000EA000000}"/>
    <cellStyle name="Comma 12 2 3 2" xfId="188" xr:uid="{00000000-0005-0000-0000-0000EB000000}"/>
    <cellStyle name="Comma 12 2 3 2 2" xfId="189" xr:uid="{00000000-0005-0000-0000-0000EC000000}"/>
    <cellStyle name="Comma 12 2 3 2 2 2" xfId="190" xr:uid="{00000000-0005-0000-0000-0000ED000000}"/>
    <cellStyle name="Comma 12 2 3 2 2 2 2" xfId="191" xr:uid="{00000000-0005-0000-0000-0000EE000000}"/>
    <cellStyle name="Comma 12 2 3 2 2 3" xfId="192" xr:uid="{00000000-0005-0000-0000-0000EF000000}"/>
    <cellStyle name="Comma 12 2 3 2 3" xfId="193" xr:uid="{00000000-0005-0000-0000-0000F0000000}"/>
    <cellStyle name="Comma 12 2 3 2 3 2" xfId="194" xr:uid="{00000000-0005-0000-0000-0000F1000000}"/>
    <cellStyle name="Comma 12 2 3 2 4" xfId="195" xr:uid="{00000000-0005-0000-0000-0000F2000000}"/>
    <cellStyle name="Comma 12 2 3 3" xfId="196" xr:uid="{00000000-0005-0000-0000-0000F3000000}"/>
    <cellStyle name="Comma 12 2 3 3 2" xfId="197" xr:uid="{00000000-0005-0000-0000-0000F4000000}"/>
    <cellStyle name="Comma 12 2 3 3 2 2" xfId="198" xr:uid="{00000000-0005-0000-0000-0000F5000000}"/>
    <cellStyle name="Comma 12 2 3 3 3" xfId="199" xr:uid="{00000000-0005-0000-0000-0000F6000000}"/>
    <cellStyle name="Comma 12 2 3 4" xfId="200" xr:uid="{00000000-0005-0000-0000-0000F7000000}"/>
    <cellStyle name="Comma 12 2 3 4 2" xfId="201" xr:uid="{00000000-0005-0000-0000-0000F8000000}"/>
    <cellStyle name="Comma 12 2 3 5" xfId="202" xr:uid="{00000000-0005-0000-0000-0000F9000000}"/>
    <cellStyle name="Comma 12 2 4" xfId="203" xr:uid="{00000000-0005-0000-0000-0000FA000000}"/>
    <cellStyle name="Comma 12 2 4 2" xfId="204" xr:uid="{00000000-0005-0000-0000-0000FB000000}"/>
    <cellStyle name="Comma 12 2 4 2 2" xfId="205" xr:uid="{00000000-0005-0000-0000-0000FC000000}"/>
    <cellStyle name="Comma 12 2 4 2 2 2" xfId="206" xr:uid="{00000000-0005-0000-0000-0000FD000000}"/>
    <cellStyle name="Comma 12 2 4 2 3" xfId="207" xr:uid="{00000000-0005-0000-0000-0000FE000000}"/>
    <cellStyle name="Comma 12 2 4 3" xfId="208" xr:uid="{00000000-0005-0000-0000-0000FF000000}"/>
    <cellStyle name="Comma 12 2 4 3 2" xfId="209" xr:uid="{00000000-0005-0000-0000-000000010000}"/>
    <cellStyle name="Comma 12 2 4 4" xfId="210" xr:uid="{00000000-0005-0000-0000-000001010000}"/>
    <cellStyle name="Comma 12 2 5" xfId="211" xr:uid="{00000000-0005-0000-0000-000002010000}"/>
    <cellStyle name="Comma 12 2 5 2" xfId="212" xr:uid="{00000000-0005-0000-0000-000003010000}"/>
    <cellStyle name="Comma 12 2 5 2 2" xfId="213" xr:uid="{00000000-0005-0000-0000-000004010000}"/>
    <cellStyle name="Comma 12 2 5 3" xfId="214" xr:uid="{00000000-0005-0000-0000-000005010000}"/>
    <cellStyle name="Comma 12 2 6" xfId="215" xr:uid="{00000000-0005-0000-0000-000006010000}"/>
    <cellStyle name="Comma 12 2 6 2" xfId="216" xr:uid="{00000000-0005-0000-0000-000007010000}"/>
    <cellStyle name="Comma 12 2 7" xfId="217" xr:uid="{00000000-0005-0000-0000-000008010000}"/>
    <cellStyle name="Comma 12 3" xfId="218" xr:uid="{00000000-0005-0000-0000-000009010000}"/>
    <cellStyle name="Comma 12 3 2" xfId="219" xr:uid="{00000000-0005-0000-0000-00000A010000}"/>
    <cellStyle name="Comma 12 3 2 2" xfId="220" xr:uid="{00000000-0005-0000-0000-00000B010000}"/>
    <cellStyle name="Comma 12 3 2 2 2" xfId="221" xr:uid="{00000000-0005-0000-0000-00000C010000}"/>
    <cellStyle name="Comma 12 3 2 2 2 2" xfId="222" xr:uid="{00000000-0005-0000-0000-00000D010000}"/>
    <cellStyle name="Comma 12 3 2 2 2 2 2" xfId="223" xr:uid="{00000000-0005-0000-0000-00000E010000}"/>
    <cellStyle name="Comma 12 3 2 2 2 3" xfId="224" xr:uid="{00000000-0005-0000-0000-00000F010000}"/>
    <cellStyle name="Comma 12 3 2 2 3" xfId="225" xr:uid="{00000000-0005-0000-0000-000010010000}"/>
    <cellStyle name="Comma 12 3 2 2 3 2" xfId="226" xr:uid="{00000000-0005-0000-0000-000011010000}"/>
    <cellStyle name="Comma 12 3 2 2 4" xfId="227" xr:uid="{00000000-0005-0000-0000-000012010000}"/>
    <cellStyle name="Comma 12 3 2 3" xfId="228" xr:uid="{00000000-0005-0000-0000-000013010000}"/>
    <cellStyle name="Comma 12 3 2 3 2" xfId="229" xr:uid="{00000000-0005-0000-0000-000014010000}"/>
    <cellStyle name="Comma 12 3 2 3 2 2" xfId="230" xr:uid="{00000000-0005-0000-0000-000015010000}"/>
    <cellStyle name="Comma 12 3 2 3 3" xfId="231" xr:uid="{00000000-0005-0000-0000-000016010000}"/>
    <cellStyle name="Comma 12 3 2 4" xfId="232" xr:uid="{00000000-0005-0000-0000-000017010000}"/>
    <cellStyle name="Comma 12 3 2 4 2" xfId="233" xr:uid="{00000000-0005-0000-0000-000018010000}"/>
    <cellStyle name="Comma 12 3 2 5" xfId="234" xr:uid="{00000000-0005-0000-0000-000019010000}"/>
    <cellStyle name="Comma 12 3 3" xfId="235" xr:uid="{00000000-0005-0000-0000-00001A010000}"/>
    <cellStyle name="Comma 12 3 3 2" xfId="236" xr:uid="{00000000-0005-0000-0000-00001B010000}"/>
    <cellStyle name="Comma 12 3 3 2 2" xfId="237" xr:uid="{00000000-0005-0000-0000-00001C010000}"/>
    <cellStyle name="Comma 12 3 3 2 2 2" xfId="238" xr:uid="{00000000-0005-0000-0000-00001D010000}"/>
    <cellStyle name="Comma 12 3 3 2 3" xfId="239" xr:uid="{00000000-0005-0000-0000-00001E010000}"/>
    <cellStyle name="Comma 12 3 3 3" xfId="240" xr:uid="{00000000-0005-0000-0000-00001F010000}"/>
    <cellStyle name="Comma 12 3 3 3 2" xfId="241" xr:uid="{00000000-0005-0000-0000-000020010000}"/>
    <cellStyle name="Comma 12 3 3 4" xfId="242" xr:uid="{00000000-0005-0000-0000-000021010000}"/>
    <cellStyle name="Comma 12 3 4" xfId="243" xr:uid="{00000000-0005-0000-0000-000022010000}"/>
    <cellStyle name="Comma 12 3 4 2" xfId="244" xr:uid="{00000000-0005-0000-0000-000023010000}"/>
    <cellStyle name="Comma 12 3 4 2 2" xfId="245" xr:uid="{00000000-0005-0000-0000-000024010000}"/>
    <cellStyle name="Comma 12 3 4 3" xfId="246" xr:uid="{00000000-0005-0000-0000-000025010000}"/>
    <cellStyle name="Comma 12 3 5" xfId="247" xr:uid="{00000000-0005-0000-0000-000026010000}"/>
    <cellStyle name="Comma 12 3 5 2" xfId="248" xr:uid="{00000000-0005-0000-0000-000027010000}"/>
    <cellStyle name="Comma 12 3 6" xfId="249" xr:uid="{00000000-0005-0000-0000-000028010000}"/>
    <cellStyle name="Comma 12 4" xfId="250" xr:uid="{00000000-0005-0000-0000-000029010000}"/>
    <cellStyle name="Comma 12 4 2" xfId="251" xr:uid="{00000000-0005-0000-0000-00002A010000}"/>
    <cellStyle name="Comma 12 4 2 2" xfId="252" xr:uid="{00000000-0005-0000-0000-00002B010000}"/>
    <cellStyle name="Comma 12 4 2 2 2" xfId="253" xr:uid="{00000000-0005-0000-0000-00002C010000}"/>
    <cellStyle name="Comma 12 4 2 2 2 2" xfId="254" xr:uid="{00000000-0005-0000-0000-00002D010000}"/>
    <cellStyle name="Comma 12 4 2 2 3" xfId="255" xr:uid="{00000000-0005-0000-0000-00002E010000}"/>
    <cellStyle name="Comma 12 4 2 3" xfId="256" xr:uid="{00000000-0005-0000-0000-00002F010000}"/>
    <cellStyle name="Comma 12 4 2 3 2" xfId="257" xr:uid="{00000000-0005-0000-0000-000030010000}"/>
    <cellStyle name="Comma 12 4 2 4" xfId="258" xr:uid="{00000000-0005-0000-0000-000031010000}"/>
    <cellStyle name="Comma 12 4 3" xfId="259" xr:uid="{00000000-0005-0000-0000-000032010000}"/>
    <cellStyle name="Comma 12 4 3 2" xfId="260" xr:uid="{00000000-0005-0000-0000-000033010000}"/>
    <cellStyle name="Comma 12 4 3 2 2" xfId="261" xr:uid="{00000000-0005-0000-0000-000034010000}"/>
    <cellStyle name="Comma 12 4 3 3" xfId="262" xr:uid="{00000000-0005-0000-0000-000035010000}"/>
    <cellStyle name="Comma 12 4 4" xfId="263" xr:uid="{00000000-0005-0000-0000-000036010000}"/>
    <cellStyle name="Comma 12 4 4 2" xfId="264" xr:uid="{00000000-0005-0000-0000-000037010000}"/>
    <cellStyle name="Comma 12 4 5" xfId="265" xr:uid="{00000000-0005-0000-0000-000038010000}"/>
    <cellStyle name="Comma 12 5" xfId="266" xr:uid="{00000000-0005-0000-0000-000039010000}"/>
    <cellStyle name="Comma 12 5 2" xfId="267" xr:uid="{00000000-0005-0000-0000-00003A010000}"/>
    <cellStyle name="Comma 12 5 2 2" xfId="268" xr:uid="{00000000-0005-0000-0000-00003B010000}"/>
    <cellStyle name="Comma 12 5 2 2 2" xfId="269" xr:uid="{00000000-0005-0000-0000-00003C010000}"/>
    <cellStyle name="Comma 12 5 2 3" xfId="270" xr:uid="{00000000-0005-0000-0000-00003D010000}"/>
    <cellStyle name="Comma 12 5 3" xfId="271" xr:uid="{00000000-0005-0000-0000-00003E010000}"/>
    <cellStyle name="Comma 12 5 3 2" xfId="272" xr:uid="{00000000-0005-0000-0000-00003F010000}"/>
    <cellStyle name="Comma 12 5 4" xfId="273" xr:uid="{00000000-0005-0000-0000-000040010000}"/>
    <cellStyle name="Comma 12 6" xfId="274" xr:uid="{00000000-0005-0000-0000-000041010000}"/>
    <cellStyle name="Comma 12 6 2" xfId="275" xr:uid="{00000000-0005-0000-0000-000042010000}"/>
    <cellStyle name="Comma 12 6 2 2" xfId="276" xr:uid="{00000000-0005-0000-0000-000043010000}"/>
    <cellStyle name="Comma 12 6 3" xfId="277" xr:uid="{00000000-0005-0000-0000-000044010000}"/>
    <cellStyle name="Comma 12 7" xfId="278" xr:uid="{00000000-0005-0000-0000-000045010000}"/>
    <cellStyle name="Comma 12 7 2" xfId="279" xr:uid="{00000000-0005-0000-0000-000046010000}"/>
    <cellStyle name="Comma 12 8" xfId="280" xr:uid="{00000000-0005-0000-0000-000047010000}"/>
    <cellStyle name="Comma 13" xfId="281" xr:uid="{00000000-0005-0000-0000-000048010000}"/>
    <cellStyle name="Comma 14" xfId="282" xr:uid="{00000000-0005-0000-0000-000049010000}"/>
    <cellStyle name="Comma 14 2" xfId="283" xr:uid="{00000000-0005-0000-0000-00004A010000}"/>
    <cellStyle name="Comma 14 2 2" xfId="284" xr:uid="{00000000-0005-0000-0000-00004B010000}"/>
    <cellStyle name="Comma 14 2 2 2" xfId="285" xr:uid="{00000000-0005-0000-0000-00004C010000}"/>
    <cellStyle name="Comma 14 2 2 2 2" xfId="286" xr:uid="{00000000-0005-0000-0000-00004D010000}"/>
    <cellStyle name="Comma 14 2 2 2 2 2" xfId="287" xr:uid="{00000000-0005-0000-0000-00004E010000}"/>
    <cellStyle name="Comma 14 2 2 2 3" xfId="288" xr:uid="{00000000-0005-0000-0000-00004F010000}"/>
    <cellStyle name="Comma 14 2 2 3" xfId="289" xr:uid="{00000000-0005-0000-0000-000050010000}"/>
    <cellStyle name="Comma 14 2 2 3 2" xfId="290" xr:uid="{00000000-0005-0000-0000-000051010000}"/>
    <cellStyle name="Comma 14 2 2 4" xfId="291" xr:uid="{00000000-0005-0000-0000-000052010000}"/>
    <cellStyle name="Comma 14 2 3" xfId="292" xr:uid="{00000000-0005-0000-0000-000053010000}"/>
    <cellStyle name="Comma 14 2 3 2" xfId="293" xr:uid="{00000000-0005-0000-0000-000054010000}"/>
    <cellStyle name="Comma 14 2 3 2 2" xfId="294" xr:uid="{00000000-0005-0000-0000-000055010000}"/>
    <cellStyle name="Comma 14 2 3 3" xfId="295" xr:uid="{00000000-0005-0000-0000-000056010000}"/>
    <cellStyle name="Comma 14 2 4" xfId="296" xr:uid="{00000000-0005-0000-0000-000057010000}"/>
    <cellStyle name="Comma 14 2 4 2" xfId="297" xr:uid="{00000000-0005-0000-0000-000058010000}"/>
    <cellStyle name="Comma 14 2 5" xfId="298" xr:uid="{00000000-0005-0000-0000-000059010000}"/>
    <cellStyle name="Comma 14 3" xfId="299" xr:uid="{00000000-0005-0000-0000-00005A010000}"/>
    <cellStyle name="Comma 14 3 2" xfId="300" xr:uid="{00000000-0005-0000-0000-00005B010000}"/>
    <cellStyle name="Comma 14 3 2 2" xfId="301" xr:uid="{00000000-0005-0000-0000-00005C010000}"/>
    <cellStyle name="Comma 14 3 2 2 2" xfId="302" xr:uid="{00000000-0005-0000-0000-00005D010000}"/>
    <cellStyle name="Comma 14 3 2 3" xfId="303" xr:uid="{00000000-0005-0000-0000-00005E010000}"/>
    <cellStyle name="Comma 14 3 3" xfId="304" xr:uid="{00000000-0005-0000-0000-00005F010000}"/>
    <cellStyle name="Comma 14 3 3 2" xfId="305" xr:uid="{00000000-0005-0000-0000-000060010000}"/>
    <cellStyle name="Comma 14 3 4" xfId="306" xr:uid="{00000000-0005-0000-0000-000061010000}"/>
    <cellStyle name="Comma 14 4" xfId="307" xr:uid="{00000000-0005-0000-0000-000062010000}"/>
    <cellStyle name="Comma 14 4 2" xfId="308" xr:uid="{00000000-0005-0000-0000-000063010000}"/>
    <cellStyle name="Comma 14 4 2 2" xfId="309" xr:uid="{00000000-0005-0000-0000-000064010000}"/>
    <cellStyle name="Comma 14 4 3" xfId="310" xr:uid="{00000000-0005-0000-0000-000065010000}"/>
    <cellStyle name="Comma 14 5" xfId="311" xr:uid="{00000000-0005-0000-0000-000066010000}"/>
    <cellStyle name="Comma 14 5 2" xfId="312" xr:uid="{00000000-0005-0000-0000-000067010000}"/>
    <cellStyle name="Comma 14 6" xfId="313" xr:uid="{00000000-0005-0000-0000-000068010000}"/>
    <cellStyle name="Comma 15" xfId="314" xr:uid="{00000000-0005-0000-0000-000069010000}"/>
    <cellStyle name="Comma 15 2" xfId="315" xr:uid="{00000000-0005-0000-0000-00006A010000}"/>
    <cellStyle name="Comma 16" xfId="316" xr:uid="{00000000-0005-0000-0000-00006B010000}"/>
    <cellStyle name="Comma 17" xfId="317" xr:uid="{00000000-0005-0000-0000-00006C010000}"/>
    <cellStyle name="Comma 17 2" xfId="318" xr:uid="{00000000-0005-0000-0000-00006D010000}"/>
    <cellStyle name="Comma 17 3" xfId="319" xr:uid="{00000000-0005-0000-0000-00006E010000}"/>
    <cellStyle name="Comma 18" xfId="320" xr:uid="{00000000-0005-0000-0000-00006F010000}"/>
    <cellStyle name="Comma 18 2" xfId="321" xr:uid="{00000000-0005-0000-0000-000070010000}"/>
    <cellStyle name="Comma 19" xfId="322" xr:uid="{00000000-0005-0000-0000-000071010000}"/>
    <cellStyle name="Comma 2" xfId="323" xr:uid="{00000000-0005-0000-0000-000072010000}"/>
    <cellStyle name="Comma 2 2" xfId="324" xr:uid="{00000000-0005-0000-0000-000073010000}"/>
    <cellStyle name="Comma 2 2 2" xfId="325" xr:uid="{00000000-0005-0000-0000-000074010000}"/>
    <cellStyle name="Comma 2 2 2 2" xfId="326" xr:uid="{00000000-0005-0000-0000-000075010000}"/>
    <cellStyle name="Comma 2 2 2 2 2" xfId="327" xr:uid="{00000000-0005-0000-0000-000076010000}"/>
    <cellStyle name="Comma 2 2 2 3" xfId="328" xr:uid="{00000000-0005-0000-0000-000077010000}"/>
    <cellStyle name="Comma 2 2 3" xfId="329" xr:uid="{00000000-0005-0000-0000-000078010000}"/>
    <cellStyle name="Comma 2 2 3 2" xfId="330" xr:uid="{00000000-0005-0000-0000-000079010000}"/>
    <cellStyle name="Comma 2 2 4" xfId="331" xr:uid="{00000000-0005-0000-0000-00007A010000}"/>
    <cellStyle name="Comma 2 2 4 2" xfId="332" xr:uid="{00000000-0005-0000-0000-00007B010000}"/>
    <cellStyle name="Comma 2 2 5" xfId="333" xr:uid="{00000000-0005-0000-0000-00007C010000}"/>
    <cellStyle name="Comma 2 2 5 2" xfId="334" xr:uid="{00000000-0005-0000-0000-00007D010000}"/>
    <cellStyle name="Comma 2 2 5 2 2" xfId="335" xr:uid="{00000000-0005-0000-0000-00007E010000}"/>
    <cellStyle name="Comma 2 2 5 3" xfId="336" xr:uid="{00000000-0005-0000-0000-00007F010000}"/>
    <cellStyle name="Comma 2 2 6" xfId="337" xr:uid="{00000000-0005-0000-0000-000080010000}"/>
    <cellStyle name="Comma 2 2 6 2" xfId="338" xr:uid="{00000000-0005-0000-0000-000081010000}"/>
    <cellStyle name="Comma 2 2 7" xfId="339" xr:uid="{00000000-0005-0000-0000-000082010000}"/>
    <cellStyle name="Comma 2 3" xfId="340" xr:uid="{00000000-0005-0000-0000-000083010000}"/>
    <cellStyle name="Comma 2 3 2" xfId="341" xr:uid="{00000000-0005-0000-0000-000084010000}"/>
    <cellStyle name="Comma 2 4" xfId="342" xr:uid="{00000000-0005-0000-0000-000085010000}"/>
    <cellStyle name="Comma 2 4 2" xfId="343" xr:uid="{00000000-0005-0000-0000-000086010000}"/>
    <cellStyle name="Comma 2 5" xfId="344" xr:uid="{00000000-0005-0000-0000-000087010000}"/>
    <cellStyle name="Comma 2 5 2" xfId="345" xr:uid="{00000000-0005-0000-0000-000088010000}"/>
    <cellStyle name="Comma 2 6" xfId="346" xr:uid="{00000000-0005-0000-0000-000089010000}"/>
    <cellStyle name="Comma 2 6 2" xfId="347" xr:uid="{00000000-0005-0000-0000-00008A010000}"/>
    <cellStyle name="Comma 2 7" xfId="348" xr:uid="{00000000-0005-0000-0000-00008B010000}"/>
    <cellStyle name="Comma 2 7 2" xfId="349" xr:uid="{00000000-0005-0000-0000-00008C010000}"/>
    <cellStyle name="Comma 2 7 2 2" xfId="350" xr:uid="{00000000-0005-0000-0000-00008D010000}"/>
    <cellStyle name="Comma 2 7 3" xfId="351" xr:uid="{00000000-0005-0000-0000-00008E010000}"/>
    <cellStyle name="Comma 2 8" xfId="352" xr:uid="{00000000-0005-0000-0000-00008F010000}"/>
    <cellStyle name="Comma 2 9" xfId="353" xr:uid="{00000000-0005-0000-0000-000090010000}"/>
    <cellStyle name="Comma 2 9 2" xfId="354" xr:uid="{00000000-0005-0000-0000-000091010000}"/>
    <cellStyle name="Comma 3" xfId="355" xr:uid="{00000000-0005-0000-0000-000092010000}"/>
    <cellStyle name="Comma 3 2" xfId="356" xr:uid="{00000000-0005-0000-0000-000093010000}"/>
    <cellStyle name="Comma 3 2 2" xfId="357" xr:uid="{00000000-0005-0000-0000-000094010000}"/>
    <cellStyle name="Comma 3 3" xfId="358" xr:uid="{00000000-0005-0000-0000-000095010000}"/>
    <cellStyle name="Comma 3 3 2" xfId="359" xr:uid="{00000000-0005-0000-0000-000096010000}"/>
    <cellStyle name="Comma 3 4" xfId="360" xr:uid="{00000000-0005-0000-0000-000097010000}"/>
    <cellStyle name="Comma 3 4 2" xfId="361" xr:uid="{00000000-0005-0000-0000-000098010000}"/>
    <cellStyle name="Comma 3 5" xfId="362" xr:uid="{00000000-0005-0000-0000-000099010000}"/>
    <cellStyle name="Comma 3 5 2" xfId="363" xr:uid="{00000000-0005-0000-0000-00009A010000}"/>
    <cellStyle name="Comma 3 6" xfId="364" xr:uid="{00000000-0005-0000-0000-00009B010000}"/>
    <cellStyle name="Comma 4" xfId="365" xr:uid="{00000000-0005-0000-0000-00009C010000}"/>
    <cellStyle name="Comma 4 2" xfId="366" xr:uid="{00000000-0005-0000-0000-00009D010000}"/>
    <cellStyle name="Comma 4 2 2" xfId="367" xr:uid="{00000000-0005-0000-0000-00009E010000}"/>
    <cellStyle name="Comma 4 3" xfId="368" xr:uid="{00000000-0005-0000-0000-00009F010000}"/>
    <cellStyle name="Comma 4 3 2" xfId="369" xr:uid="{00000000-0005-0000-0000-0000A0010000}"/>
    <cellStyle name="Comma 4 4" xfId="370" xr:uid="{00000000-0005-0000-0000-0000A1010000}"/>
    <cellStyle name="Comma 4 4 2" xfId="371" xr:uid="{00000000-0005-0000-0000-0000A2010000}"/>
    <cellStyle name="Comma 4 5" xfId="372" xr:uid="{00000000-0005-0000-0000-0000A3010000}"/>
    <cellStyle name="Comma 5" xfId="373" xr:uid="{00000000-0005-0000-0000-0000A4010000}"/>
    <cellStyle name="Comma 5 2" xfId="374" xr:uid="{00000000-0005-0000-0000-0000A5010000}"/>
    <cellStyle name="Comma 5 2 2" xfId="375" xr:uid="{00000000-0005-0000-0000-0000A6010000}"/>
    <cellStyle name="Comma 5 3" xfId="376" xr:uid="{00000000-0005-0000-0000-0000A7010000}"/>
    <cellStyle name="Comma 5 3 2" xfId="377" xr:uid="{00000000-0005-0000-0000-0000A8010000}"/>
    <cellStyle name="Comma 5 4" xfId="378" xr:uid="{00000000-0005-0000-0000-0000A9010000}"/>
    <cellStyle name="Comma 6" xfId="379" xr:uid="{00000000-0005-0000-0000-0000AA010000}"/>
    <cellStyle name="Comma 6 2" xfId="380" xr:uid="{00000000-0005-0000-0000-0000AB010000}"/>
    <cellStyle name="Comma 6 2 2" xfId="381" xr:uid="{00000000-0005-0000-0000-0000AC010000}"/>
    <cellStyle name="Comma 6 3" xfId="382" xr:uid="{00000000-0005-0000-0000-0000AD010000}"/>
    <cellStyle name="Comma 6 3 2" xfId="383" xr:uid="{00000000-0005-0000-0000-0000AE010000}"/>
    <cellStyle name="Comma 6 4" xfId="384" xr:uid="{00000000-0005-0000-0000-0000AF010000}"/>
    <cellStyle name="Comma 7" xfId="385" xr:uid="{00000000-0005-0000-0000-0000B0010000}"/>
    <cellStyle name="Comma 7 2" xfId="386" xr:uid="{00000000-0005-0000-0000-0000B1010000}"/>
    <cellStyle name="Comma 7 2 2" xfId="387" xr:uid="{00000000-0005-0000-0000-0000B2010000}"/>
    <cellStyle name="Comma 7 3" xfId="388" xr:uid="{00000000-0005-0000-0000-0000B3010000}"/>
    <cellStyle name="Comma 7 3 2" xfId="389" xr:uid="{00000000-0005-0000-0000-0000B4010000}"/>
    <cellStyle name="Comma 7 4" xfId="390" xr:uid="{00000000-0005-0000-0000-0000B5010000}"/>
    <cellStyle name="Comma 8" xfId="391" xr:uid="{00000000-0005-0000-0000-0000B6010000}"/>
    <cellStyle name="Comma 8 2" xfId="392" xr:uid="{00000000-0005-0000-0000-0000B7010000}"/>
    <cellStyle name="Comma 8 2 2" xfId="393" xr:uid="{00000000-0005-0000-0000-0000B8010000}"/>
    <cellStyle name="Comma 8 3" xfId="394" xr:uid="{00000000-0005-0000-0000-0000B9010000}"/>
    <cellStyle name="Comma 8 3 2" xfId="395" xr:uid="{00000000-0005-0000-0000-0000BA010000}"/>
    <cellStyle name="Comma 8 4" xfId="396" xr:uid="{00000000-0005-0000-0000-0000BB010000}"/>
    <cellStyle name="Comma 9" xfId="397" xr:uid="{00000000-0005-0000-0000-0000BC010000}"/>
    <cellStyle name="Comma 9 2" xfId="398" xr:uid="{00000000-0005-0000-0000-0000BD010000}"/>
    <cellStyle name="Comma 9 2 2" xfId="399" xr:uid="{00000000-0005-0000-0000-0000BE010000}"/>
    <cellStyle name="Comma 9 2 2 2" xfId="400" xr:uid="{00000000-0005-0000-0000-0000BF010000}"/>
    <cellStyle name="Comma 9 2 3" xfId="401" xr:uid="{00000000-0005-0000-0000-0000C0010000}"/>
    <cellStyle name="Comma 9 3" xfId="402" xr:uid="{00000000-0005-0000-0000-0000C1010000}"/>
    <cellStyle name="Comma 9 3 2" xfId="403" xr:uid="{00000000-0005-0000-0000-0000C2010000}"/>
    <cellStyle name="Comma 9 3 2 2" xfId="404" xr:uid="{00000000-0005-0000-0000-0000C3010000}"/>
    <cellStyle name="Comma 9 3 3" xfId="405" xr:uid="{00000000-0005-0000-0000-0000C4010000}"/>
    <cellStyle name="Comma 9 4" xfId="406" xr:uid="{00000000-0005-0000-0000-0000C5010000}"/>
    <cellStyle name="Comma 9 4 2" xfId="407" xr:uid="{00000000-0005-0000-0000-0000C6010000}"/>
    <cellStyle name="Comma 9 4 2 2" xfId="408" xr:uid="{00000000-0005-0000-0000-0000C7010000}"/>
    <cellStyle name="Comma 9 4 3" xfId="409" xr:uid="{00000000-0005-0000-0000-0000C8010000}"/>
    <cellStyle name="Comma 9 5" xfId="410" xr:uid="{00000000-0005-0000-0000-0000C9010000}"/>
    <cellStyle name="Comma 9 5 2" xfId="411" xr:uid="{00000000-0005-0000-0000-0000CA010000}"/>
    <cellStyle name="Comma 9 6" xfId="412" xr:uid="{00000000-0005-0000-0000-0000CB010000}"/>
    <cellStyle name="Comma 9 9" xfId="413" xr:uid="{00000000-0005-0000-0000-0000CC010000}"/>
    <cellStyle name="Comma 9 9 2" xfId="414" xr:uid="{00000000-0005-0000-0000-0000CD010000}"/>
    <cellStyle name="Comma 9 9 2 2" xfId="415" xr:uid="{00000000-0005-0000-0000-0000CE010000}"/>
    <cellStyle name="Comma 9 9 3" xfId="416" xr:uid="{00000000-0005-0000-0000-0000CF010000}"/>
    <cellStyle name="Currency 2" xfId="417" xr:uid="{00000000-0005-0000-0000-0000D0010000}"/>
    <cellStyle name="Excel Built-in Normal" xfId="418" xr:uid="{00000000-0005-0000-0000-0000D1010000}"/>
    <cellStyle name="Explanatory Text 2" xfId="419" xr:uid="{00000000-0005-0000-0000-0000D2010000}"/>
    <cellStyle name="Explanatory Text 3" xfId="420" xr:uid="{00000000-0005-0000-0000-0000D3010000}"/>
    <cellStyle name="Good 2" xfId="421" xr:uid="{00000000-0005-0000-0000-0000D4010000}"/>
    <cellStyle name="Good 3" xfId="422" xr:uid="{00000000-0005-0000-0000-0000D5010000}"/>
    <cellStyle name="Heading 1 2" xfId="423" xr:uid="{00000000-0005-0000-0000-0000D6010000}"/>
    <cellStyle name="Heading 1 3" xfId="424" xr:uid="{00000000-0005-0000-0000-0000D7010000}"/>
    <cellStyle name="Heading 2 2" xfId="425" xr:uid="{00000000-0005-0000-0000-0000D8010000}"/>
    <cellStyle name="Heading 2 3" xfId="426" xr:uid="{00000000-0005-0000-0000-0000D9010000}"/>
    <cellStyle name="Heading 3 2" xfId="427" xr:uid="{00000000-0005-0000-0000-0000DA010000}"/>
    <cellStyle name="Heading 3 3" xfId="428" xr:uid="{00000000-0005-0000-0000-0000DB010000}"/>
    <cellStyle name="Heading 4 2" xfId="429" xr:uid="{00000000-0005-0000-0000-0000DC010000}"/>
    <cellStyle name="Heading 4 3" xfId="430" xr:uid="{00000000-0005-0000-0000-0000DD010000}"/>
    <cellStyle name="Input 2" xfId="431" xr:uid="{00000000-0005-0000-0000-0000DE010000}"/>
    <cellStyle name="Input 2 2" xfId="432" xr:uid="{00000000-0005-0000-0000-0000DF010000}"/>
    <cellStyle name="Input 2 2 2" xfId="433" xr:uid="{00000000-0005-0000-0000-0000E0010000}"/>
    <cellStyle name="Input 2 2_Cover Page (r)" xfId="434" xr:uid="{00000000-0005-0000-0000-0000E1010000}"/>
    <cellStyle name="Input 2 3" xfId="435" xr:uid="{00000000-0005-0000-0000-0000E2010000}"/>
    <cellStyle name="Input 2_Cover Page (r)" xfId="436" xr:uid="{00000000-0005-0000-0000-0000E3010000}"/>
    <cellStyle name="Input 3" xfId="437" xr:uid="{00000000-0005-0000-0000-0000E4010000}"/>
    <cellStyle name="Input 3 2" xfId="438" xr:uid="{00000000-0005-0000-0000-0000E5010000}"/>
    <cellStyle name="Input 3_Cover Page (r)" xfId="439" xr:uid="{00000000-0005-0000-0000-0000E6010000}"/>
    <cellStyle name="Input 4" xfId="440" xr:uid="{00000000-0005-0000-0000-0000E7010000}"/>
    <cellStyle name="Input 5" xfId="441" xr:uid="{00000000-0005-0000-0000-0000E8010000}"/>
    <cellStyle name="Left heading" xfId="442" xr:uid="{00000000-0005-0000-0000-0000E9010000}"/>
    <cellStyle name="Left heading 2" xfId="443" xr:uid="{00000000-0005-0000-0000-0000EA010000}"/>
    <cellStyle name="Left heading 2 2" xfId="444" xr:uid="{00000000-0005-0000-0000-0000EB010000}"/>
    <cellStyle name="Left heading 2 2 2" xfId="445" xr:uid="{00000000-0005-0000-0000-0000EC010000}"/>
    <cellStyle name="Left heading 2 3" xfId="446" xr:uid="{00000000-0005-0000-0000-0000ED010000}"/>
    <cellStyle name="Left heading 2_Cover Page (r)" xfId="447" xr:uid="{00000000-0005-0000-0000-0000EE010000}"/>
    <cellStyle name="Left heading 3" xfId="448" xr:uid="{00000000-0005-0000-0000-0000EF010000}"/>
    <cellStyle name="Left heading 3 2" xfId="449" xr:uid="{00000000-0005-0000-0000-0000F0010000}"/>
    <cellStyle name="Left heading_Cover Page (r)" xfId="450" xr:uid="{00000000-0005-0000-0000-0000F1010000}"/>
    <cellStyle name="Linked Cell 2" xfId="451" xr:uid="{00000000-0005-0000-0000-0000F2010000}"/>
    <cellStyle name="Linked Cell 3" xfId="452" xr:uid="{00000000-0005-0000-0000-0000F3010000}"/>
    <cellStyle name="million" xfId="453" xr:uid="{00000000-0005-0000-0000-0000F4010000}"/>
    <cellStyle name="million 2" xfId="454" xr:uid="{00000000-0005-0000-0000-0000F5010000}"/>
    <cellStyle name="million 2 2" xfId="455" xr:uid="{00000000-0005-0000-0000-0000F6010000}"/>
    <cellStyle name="million 2 2 2" xfId="456" xr:uid="{00000000-0005-0000-0000-0000F7010000}"/>
    <cellStyle name="million 2 2 2 2" xfId="457" xr:uid="{00000000-0005-0000-0000-0000F8010000}"/>
    <cellStyle name="million 2 2 2 2 2" xfId="458" xr:uid="{00000000-0005-0000-0000-0000F9010000}"/>
    <cellStyle name="million 2 2 2 2 2 2" xfId="459" xr:uid="{00000000-0005-0000-0000-0000FA010000}"/>
    <cellStyle name="million 2 2 3" xfId="460" xr:uid="{00000000-0005-0000-0000-0000FB010000}"/>
    <cellStyle name="million 2 2 3 2" xfId="461" xr:uid="{00000000-0005-0000-0000-0000FC010000}"/>
    <cellStyle name="million 2 2 3 2 2" xfId="462" xr:uid="{00000000-0005-0000-0000-0000FD010000}"/>
    <cellStyle name="million 2 2_Cover Page (r)" xfId="463" xr:uid="{00000000-0005-0000-0000-0000FE010000}"/>
    <cellStyle name="million 2 3" xfId="464" xr:uid="{00000000-0005-0000-0000-0000FF010000}"/>
    <cellStyle name="million 2 3 2" xfId="465" xr:uid="{00000000-0005-0000-0000-000000020000}"/>
    <cellStyle name="million 2 3 2 2" xfId="466" xr:uid="{00000000-0005-0000-0000-000001020000}"/>
    <cellStyle name="million 2 3 2 2 2" xfId="467" xr:uid="{00000000-0005-0000-0000-000002020000}"/>
    <cellStyle name="million 2_Cover Page (r)" xfId="468" xr:uid="{00000000-0005-0000-0000-000003020000}"/>
    <cellStyle name="million 3" xfId="469" xr:uid="{00000000-0005-0000-0000-000004020000}"/>
    <cellStyle name="million 3 2" xfId="470" xr:uid="{00000000-0005-0000-0000-000005020000}"/>
    <cellStyle name="million 3 2 2" xfId="471" xr:uid="{00000000-0005-0000-0000-000006020000}"/>
    <cellStyle name="million 3 2 2 2" xfId="472" xr:uid="{00000000-0005-0000-0000-000007020000}"/>
    <cellStyle name="million 3 2 2 2 2" xfId="473" xr:uid="{00000000-0005-0000-0000-000008020000}"/>
    <cellStyle name="million 3 2 2 2 2 2" xfId="474" xr:uid="{00000000-0005-0000-0000-000009020000}"/>
    <cellStyle name="million 3 2_Cover Page (r)" xfId="475" xr:uid="{00000000-0005-0000-0000-00000A020000}"/>
    <cellStyle name="million 3 3" xfId="476" xr:uid="{00000000-0005-0000-0000-00000B020000}"/>
    <cellStyle name="million 3 3 2" xfId="477" xr:uid="{00000000-0005-0000-0000-00000C020000}"/>
    <cellStyle name="million 3 3 2 2" xfId="478" xr:uid="{00000000-0005-0000-0000-00000D020000}"/>
    <cellStyle name="million 3 3 2 2 2" xfId="479" xr:uid="{00000000-0005-0000-0000-00000E020000}"/>
    <cellStyle name="million 3_Cover Page (r)" xfId="480" xr:uid="{00000000-0005-0000-0000-00000F020000}"/>
    <cellStyle name="million 4" xfId="481" xr:uid="{00000000-0005-0000-0000-000010020000}"/>
    <cellStyle name="million 4 2" xfId="482" xr:uid="{00000000-0005-0000-0000-000011020000}"/>
    <cellStyle name="million 4 2 2" xfId="483" xr:uid="{00000000-0005-0000-0000-000012020000}"/>
    <cellStyle name="million 4 2 2 2" xfId="484" xr:uid="{00000000-0005-0000-0000-000013020000}"/>
    <cellStyle name="million_Cover Page (r)" xfId="485" xr:uid="{00000000-0005-0000-0000-000014020000}"/>
    <cellStyle name="Neutral 2" xfId="486" xr:uid="{00000000-0005-0000-0000-000015020000}"/>
    <cellStyle name="Neutral 3" xfId="487" xr:uid="{00000000-0005-0000-0000-000016020000}"/>
    <cellStyle name="Normal" xfId="0" builtinId="0"/>
    <cellStyle name="Normal 10" xfId="488" xr:uid="{00000000-0005-0000-0000-000017020000}"/>
    <cellStyle name="Normal 10 2" xfId="489" xr:uid="{00000000-0005-0000-0000-000018020000}"/>
    <cellStyle name="Normal 10 3" xfId="490" xr:uid="{00000000-0005-0000-0000-000019020000}"/>
    <cellStyle name="Normal 11" xfId="491" xr:uid="{00000000-0005-0000-0000-00001A020000}"/>
    <cellStyle name="Normal 11 2" xfId="492" xr:uid="{00000000-0005-0000-0000-00001B020000}"/>
    <cellStyle name="Normal 11 2 2" xfId="493" xr:uid="{00000000-0005-0000-0000-00001C020000}"/>
    <cellStyle name="Normal 11 2 2 2" xfId="494" xr:uid="{00000000-0005-0000-0000-00001D020000}"/>
    <cellStyle name="Normal 11 2 2 2 2" xfId="495" xr:uid="{00000000-0005-0000-0000-00001E020000}"/>
    <cellStyle name="Normal 11 2 2 2 2 2" xfId="496" xr:uid="{00000000-0005-0000-0000-00001F020000}"/>
    <cellStyle name="Normal 11 2 2 2 2 2 2" xfId="497" xr:uid="{00000000-0005-0000-0000-000020020000}"/>
    <cellStyle name="Normal 11 2 2 2 2 3" xfId="498" xr:uid="{00000000-0005-0000-0000-000021020000}"/>
    <cellStyle name="Normal 11 2 2 2 3" xfId="499" xr:uid="{00000000-0005-0000-0000-000022020000}"/>
    <cellStyle name="Normal 11 2 2 2 3 2" xfId="500" xr:uid="{00000000-0005-0000-0000-000023020000}"/>
    <cellStyle name="Normal 11 2 2 2 4" xfId="501" xr:uid="{00000000-0005-0000-0000-000024020000}"/>
    <cellStyle name="Normal 11 2 2 2_Cover Page (r)" xfId="502" xr:uid="{00000000-0005-0000-0000-000025020000}"/>
    <cellStyle name="Normal 11 2 2 3" xfId="503" xr:uid="{00000000-0005-0000-0000-000026020000}"/>
    <cellStyle name="Normal 11 2 2 3 2" xfId="504" xr:uid="{00000000-0005-0000-0000-000027020000}"/>
    <cellStyle name="Normal 11 2 2 3 2 2" xfId="505" xr:uid="{00000000-0005-0000-0000-000028020000}"/>
    <cellStyle name="Normal 11 2 2 3 3" xfId="506" xr:uid="{00000000-0005-0000-0000-000029020000}"/>
    <cellStyle name="Normal 11 2 2 4" xfId="507" xr:uid="{00000000-0005-0000-0000-00002A020000}"/>
    <cellStyle name="Normal 11 2 2 4 2" xfId="508" xr:uid="{00000000-0005-0000-0000-00002B020000}"/>
    <cellStyle name="Normal 11 2 2 5" xfId="509" xr:uid="{00000000-0005-0000-0000-00002C020000}"/>
    <cellStyle name="Normal 11 2 2_Cover Page (r)" xfId="510" xr:uid="{00000000-0005-0000-0000-00002D020000}"/>
    <cellStyle name="Normal 11 2 3" xfId="511" xr:uid="{00000000-0005-0000-0000-00002E020000}"/>
    <cellStyle name="Normal 11 2 3 2" xfId="512" xr:uid="{00000000-0005-0000-0000-00002F020000}"/>
    <cellStyle name="Normal 11 2 3 2 2" xfId="513" xr:uid="{00000000-0005-0000-0000-000030020000}"/>
    <cellStyle name="Normal 11 2 3 2 2 2" xfId="514" xr:uid="{00000000-0005-0000-0000-000031020000}"/>
    <cellStyle name="Normal 11 2 3 2 3" xfId="515" xr:uid="{00000000-0005-0000-0000-000032020000}"/>
    <cellStyle name="Normal 11 2 3 3" xfId="516" xr:uid="{00000000-0005-0000-0000-000033020000}"/>
    <cellStyle name="Normal 11 2 3 3 2" xfId="517" xr:uid="{00000000-0005-0000-0000-000034020000}"/>
    <cellStyle name="Normal 11 2 3 4" xfId="518" xr:uid="{00000000-0005-0000-0000-000035020000}"/>
    <cellStyle name="Normal 11 2 3_Cover Page (r)" xfId="519" xr:uid="{00000000-0005-0000-0000-000036020000}"/>
    <cellStyle name="Normal 11 2 4" xfId="520" xr:uid="{00000000-0005-0000-0000-000037020000}"/>
    <cellStyle name="Normal 11 2 4 2" xfId="521" xr:uid="{00000000-0005-0000-0000-000038020000}"/>
    <cellStyle name="Normal 11 2 4 2 2" xfId="522" xr:uid="{00000000-0005-0000-0000-000039020000}"/>
    <cellStyle name="Normal 11 2 4 3" xfId="523" xr:uid="{00000000-0005-0000-0000-00003A020000}"/>
    <cellStyle name="Normal 11 2 5" xfId="524" xr:uid="{00000000-0005-0000-0000-00003B020000}"/>
    <cellStyle name="Normal 11 2 5 2" xfId="525" xr:uid="{00000000-0005-0000-0000-00003C020000}"/>
    <cellStyle name="Normal 11 2 6" xfId="526" xr:uid="{00000000-0005-0000-0000-00003D020000}"/>
    <cellStyle name="Normal 11 2_Cover Page (r)" xfId="527" xr:uid="{00000000-0005-0000-0000-00003E020000}"/>
    <cellStyle name="Normal 11 3" xfId="528" xr:uid="{00000000-0005-0000-0000-00003F020000}"/>
    <cellStyle name="Normal 11 3 2" xfId="529" xr:uid="{00000000-0005-0000-0000-000040020000}"/>
    <cellStyle name="Normal 11 3 2 2" xfId="530" xr:uid="{00000000-0005-0000-0000-000041020000}"/>
    <cellStyle name="Normal 11 3 2 2 2" xfId="531" xr:uid="{00000000-0005-0000-0000-000042020000}"/>
    <cellStyle name="Normal 11 3 2 2 2 2" xfId="532" xr:uid="{00000000-0005-0000-0000-000043020000}"/>
    <cellStyle name="Normal 11 3 2 2 3" xfId="533" xr:uid="{00000000-0005-0000-0000-000044020000}"/>
    <cellStyle name="Normal 11 3 2 3" xfId="534" xr:uid="{00000000-0005-0000-0000-000045020000}"/>
    <cellStyle name="Normal 11 3 2 3 2" xfId="535" xr:uid="{00000000-0005-0000-0000-000046020000}"/>
    <cellStyle name="Normal 11 3 2 4" xfId="536" xr:uid="{00000000-0005-0000-0000-000047020000}"/>
    <cellStyle name="Normal 11 3 2_Cover Page (r)" xfId="537" xr:uid="{00000000-0005-0000-0000-000048020000}"/>
    <cellStyle name="Normal 11 3 3" xfId="538" xr:uid="{00000000-0005-0000-0000-000049020000}"/>
    <cellStyle name="Normal 11 3 3 2" xfId="539" xr:uid="{00000000-0005-0000-0000-00004A020000}"/>
    <cellStyle name="Normal 11 3 3 2 2" xfId="540" xr:uid="{00000000-0005-0000-0000-00004B020000}"/>
    <cellStyle name="Normal 11 3 3 3" xfId="541" xr:uid="{00000000-0005-0000-0000-00004C020000}"/>
    <cellStyle name="Normal 11 3 4" xfId="542" xr:uid="{00000000-0005-0000-0000-00004D020000}"/>
    <cellStyle name="Normal 11 3 4 2" xfId="543" xr:uid="{00000000-0005-0000-0000-00004E020000}"/>
    <cellStyle name="Normal 11 3 5" xfId="544" xr:uid="{00000000-0005-0000-0000-00004F020000}"/>
    <cellStyle name="Normal 11 3_Cover Page (r)" xfId="545" xr:uid="{00000000-0005-0000-0000-000050020000}"/>
    <cellStyle name="Normal 11 4" xfId="546" xr:uid="{00000000-0005-0000-0000-000051020000}"/>
    <cellStyle name="Normal 11 4 2" xfId="547" xr:uid="{00000000-0005-0000-0000-000052020000}"/>
    <cellStyle name="Normal 11 4 2 2" xfId="548" xr:uid="{00000000-0005-0000-0000-000053020000}"/>
    <cellStyle name="Normal 11 4 2 2 2" xfId="549" xr:uid="{00000000-0005-0000-0000-000054020000}"/>
    <cellStyle name="Normal 11 4 2 3" xfId="550" xr:uid="{00000000-0005-0000-0000-000055020000}"/>
    <cellStyle name="Normal 11 4 3" xfId="551" xr:uid="{00000000-0005-0000-0000-000056020000}"/>
    <cellStyle name="Normal 11 4 3 2" xfId="552" xr:uid="{00000000-0005-0000-0000-000057020000}"/>
    <cellStyle name="Normal 11 4 4" xfId="553" xr:uid="{00000000-0005-0000-0000-000058020000}"/>
    <cellStyle name="Normal 11 4_Cover Page (r)" xfId="554" xr:uid="{00000000-0005-0000-0000-000059020000}"/>
    <cellStyle name="Normal 11 5" xfId="555" xr:uid="{00000000-0005-0000-0000-00005A020000}"/>
    <cellStyle name="Normal 11 5 2" xfId="556" xr:uid="{00000000-0005-0000-0000-00005B020000}"/>
    <cellStyle name="Normal 11 5 2 2" xfId="557" xr:uid="{00000000-0005-0000-0000-00005C020000}"/>
    <cellStyle name="Normal 11 5 3" xfId="558" xr:uid="{00000000-0005-0000-0000-00005D020000}"/>
    <cellStyle name="Normal 11 6" xfId="559" xr:uid="{00000000-0005-0000-0000-00005E020000}"/>
    <cellStyle name="Normal 11 6 2" xfId="560" xr:uid="{00000000-0005-0000-0000-00005F020000}"/>
    <cellStyle name="Normal 11 7" xfId="561" xr:uid="{00000000-0005-0000-0000-000060020000}"/>
    <cellStyle name="Normal 11_Cover Page (r)" xfId="562" xr:uid="{00000000-0005-0000-0000-000061020000}"/>
    <cellStyle name="Normal 12" xfId="563" xr:uid="{00000000-0005-0000-0000-000062020000}"/>
    <cellStyle name="Normal 13" xfId="564" xr:uid="{00000000-0005-0000-0000-000063020000}"/>
    <cellStyle name="Normal 13 2" xfId="565" xr:uid="{00000000-0005-0000-0000-000064020000}"/>
    <cellStyle name="Normal 13 2 2" xfId="566" xr:uid="{00000000-0005-0000-0000-000065020000}"/>
    <cellStyle name="Normal 13 2 2 2" xfId="567" xr:uid="{00000000-0005-0000-0000-000066020000}"/>
    <cellStyle name="Normal 13 2 2 2 2" xfId="568" xr:uid="{00000000-0005-0000-0000-000067020000}"/>
    <cellStyle name="Normal 13 2 2 2 2 2" xfId="569" xr:uid="{00000000-0005-0000-0000-000068020000}"/>
    <cellStyle name="Normal 13 2 2 2 2 2 2" xfId="570" xr:uid="{00000000-0005-0000-0000-000069020000}"/>
    <cellStyle name="Normal 13 2 2 2 2 3" xfId="571" xr:uid="{00000000-0005-0000-0000-00006A020000}"/>
    <cellStyle name="Normal 13 2 2 2 3" xfId="572" xr:uid="{00000000-0005-0000-0000-00006B020000}"/>
    <cellStyle name="Normal 13 2 2 2 3 2" xfId="573" xr:uid="{00000000-0005-0000-0000-00006C020000}"/>
    <cellStyle name="Normal 13 2 2 2 4" xfId="574" xr:uid="{00000000-0005-0000-0000-00006D020000}"/>
    <cellStyle name="Normal 13 2 2 2_Cover Page (r)" xfId="575" xr:uid="{00000000-0005-0000-0000-00006E020000}"/>
    <cellStyle name="Normal 13 2 2 3" xfId="576" xr:uid="{00000000-0005-0000-0000-00006F020000}"/>
    <cellStyle name="Normal 13 2 2 3 2" xfId="577" xr:uid="{00000000-0005-0000-0000-000070020000}"/>
    <cellStyle name="Normal 13 2 2 3 2 2" xfId="578" xr:uid="{00000000-0005-0000-0000-000071020000}"/>
    <cellStyle name="Normal 13 2 2 3 3" xfId="579" xr:uid="{00000000-0005-0000-0000-000072020000}"/>
    <cellStyle name="Normal 13 2 2 4" xfId="580" xr:uid="{00000000-0005-0000-0000-000073020000}"/>
    <cellStyle name="Normal 13 2 2 4 2" xfId="581" xr:uid="{00000000-0005-0000-0000-000074020000}"/>
    <cellStyle name="Normal 13 2 2 5" xfId="582" xr:uid="{00000000-0005-0000-0000-000075020000}"/>
    <cellStyle name="Normal 13 2 2_Cover Page (r)" xfId="583" xr:uid="{00000000-0005-0000-0000-000076020000}"/>
    <cellStyle name="Normal 13 2 3" xfId="584" xr:uid="{00000000-0005-0000-0000-000077020000}"/>
    <cellStyle name="Normal 13 2 3 2" xfId="585" xr:uid="{00000000-0005-0000-0000-000078020000}"/>
    <cellStyle name="Normal 13 2 3 2 2" xfId="586" xr:uid="{00000000-0005-0000-0000-000079020000}"/>
    <cellStyle name="Normal 13 2 3 2 2 2" xfId="587" xr:uid="{00000000-0005-0000-0000-00007A020000}"/>
    <cellStyle name="Normal 13 2 3 2 3" xfId="588" xr:uid="{00000000-0005-0000-0000-00007B020000}"/>
    <cellStyle name="Normal 13 2 3 3" xfId="589" xr:uid="{00000000-0005-0000-0000-00007C020000}"/>
    <cellStyle name="Normal 13 2 3 3 2" xfId="590" xr:uid="{00000000-0005-0000-0000-00007D020000}"/>
    <cellStyle name="Normal 13 2 3 4" xfId="591" xr:uid="{00000000-0005-0000-0000-00007E020000}"/>
    <cellStyle name="Normal 13 2 3_Cover Page (r)" xfId="592" xr:uid="{00000000-0005-0000-0000-00007F020000}"/>
    <cellStyle name="Normal 13 2 4" xfId="593" xr:uid="{00000000-0005-0000-0000-000080020000}"/>
    <cellStyle name="Normal 13 2 4 2" xfId="594" xr:uid="{00000000-0005-0000-0000-000081020000}"/>
    <cellStyle name="Normal 13 2 4 2 2" xfId="595" xr:uid="{00000000-0005-0000-0000-000082020000}"/>
    <cellStyle name="Normal 13 2 4 3" xfId="596" xr:uid="{00000000-0005-0000-0000-000083020000}"/>
    <cellStyle name="Normal 13 2 5" xfId="597" xr:uid="{00000000-0005-0000-0000-000084020000}"/>
    <cellStyle name="Normal 13 2 5 2" xfId="598" xr:uid="{00000000-0005-0000-0000-000085020000}"/>
    <cellStyle name="Normal 13 2 6" xfId="599" xr:uid="{00000000-0005-0000-0000-000086020000}"/>
    <cellStyle name="Normal 13 2_Cover Page (r)" xfId="600" xr:uid="{00000000-0005-0000-0000-000087020000}"/>
    <cellStyle name="Normal 13 3" xfId="601" xr:uid="{00000000-0005-0000-0000-000088020000}"/>
    <cellStyle name="Normal 13 3 2" xfId="602" xr:uid="{00000000-0005-0000-0000-000089020000}"/>
    <cellStyle name="Normal 13 3 2 2" xfId="603" xr:uid="{00000000-0005-0000-0000-00008A020000}"/>
    <cellStyle name="Normal 13 3 2 2 2" xfId="604" xr:uid="{00000000-0005-0000-0000-00008B020000}"/>
    <cellStyle name="Normal 13 3 2 2 2 2" xfId="605" xr:uid="{00000000-0005-0000-0000-00008C020000}"/>
    <cellStyle name="Normal 13 3 2 2 3" xfId="606" xr:uid="{00000000-0005-0000-0000-00008D020000}"/>
    <cellStyle name="Normal 13 3 2 3" xfId="607" xr:uid="{00000000-0005-0000-0000-00008E020000}"/>
    <cellStyle name="Normal 13 3 2 3 2" xfId="608" xr:uid="{00000000-0005-0000-0000-00008F020000}"/>
    <cellStyle name="Normal 13 3 2 4" xfId="609" xr:uid="{00000000-0005-0000-0000-000090020000}"/>
    <cellStyle name="Normal 13 3 2_Cover Page (r)" xfId="610" xr:uid="{00000000-0005-0000-0000-000091020000}"/>
    <cellStyle name="Normal 13 3 3" xfId="611" xr:uid="{00000000-0005-0000-0000-000092020000}"/>
    <cellStyle name="Normal 13 3 3 2" xfId="612" xr:uid="{00000000-0005-0000-0000-000093020000}"/>
    <cellStyle name="Normal 13 3 3 2 2" xfId="613" xr:uid="{00000000-0005-0000-0000-000094020000}"/>
    <cellStyle name="Normal 13 3 3 3" xfId="614" xr:uid="{00000000-0005-0000-0000-000095020000}"/>
    <cellStyle name="Normal 13 3 4" xfId="615" xr:uid="{00000000-0005-0000-0000-000096020000}"/>
    <cellStyle name="Normal 13 3 4 2" xfId="616" xr:uid="{00000000-0005-0000-0000-000097020000}"/>
    <cellStyle name="Normal 13 3 5" xfId="617" xr:uid="{00000000-0005-0000-0000-000098020000}"/>
    <cellStyle name="Normal 13 3_Cover Page (r)" xfId="618" xr:uid="{00000000-0005-0000-0000-000099020000}"/>
    <cellStyle name="Normal 13 4" xfId="619" xr:uid="{00000000-0005-0000-0000-00009A020000}"/>
    <cellStyle name="Normal 13 4 2" xfId="620" xr:uid="{00000000-0005-0000-0000-00009B020000}"/>
    <cellStyle name="Normal 13 4 2 2" xfId="621" xr:uid="{00000000-0005-0000-0000-00009C020000}"/>
    <cellStyle name="Normal 13 4 2 2 2" xfId="622" xr:uid="{00000000-0005-0000-0000-00009D020000}"/>
    <cellStyle name="Normal 13 4 2 3" xfId="623" xr:uid="{00000000-0005-0000-0000-00009E020000}"/>
    <cellStyle name="Normal 13 4 3" xfId="624" xr:uid="{00000000-0005-0000-0000-00009F020000}"/>
    <cellStyle name="Normal 13 4 3 2" xfId="625" xr:uid="{00000000-0005-0000-0000-0000A0020000}"/>
    <cellStyle name="Normal 13 4 4" xfId="626" xr:uid="{00000000-0005-0000-0000-0000A1020000}"/>
    <cellStyle name="Normal 13 4_Cover Page (r)" xfId="627" xr:uid="{00000000-0005-0000-0000-0000A2020000}"/>
    <cellStyle name="Normal 13 5" xfId="628" xr:uid="{00000000-0005-0000-0000-0000A3020000}"/>
    <cellStyle name="Normal 13 5 2" xfId="629" xr:uid="{00000000-0005-0000-0000-0000A4020000}"/>
    <cellStyle name="Normal 13 5 2 2" xfId="630" xr:uid="{00000000-0005-0000-0000-0000A5020000}"/>
    <cellStyle name="Normal 13 5 3" xfId="631" xr:uid="{00000000-0005-0000-0000-0000A6020000}"/>
    <cellStyle name="Normal 13 6" xfId="632" xr:uid="{00000000-0005-0000-0000-0000A7020000}"/>
    <cellStyle name="Normal 13 6 2" xfId="633" xr:uid="{00000000-0005-0000-0000-0000A8020000}"/>
    <cellStyle name="Normal 13 7" xfId="634" xr:uid="{00000000-0005-0000-0000-0000A9020000}"/>
    <cellStyle name="Normal 13_Cover Page (r)" xfId="635" xr:uid="{00000000-0005-0000-0000-0000AA020000}"/>
    <cellStyle name="Normal 14" xfId="636" xr:uid="{00000000-0005-0000-0000-0000AB020000}"/>
    <cellStyle name="Normal 14 2" xfId="637" xr:uid="{00000000-0005-0000-0000-0000AC020000}"/>
    <cellStyle name="Normal 14 2 2" xfId="638" xr:uid="{00000000-0005-0000-0000-0000AD020000}"/>
    <cellStyle name="Normal 14 2 2 2" xfId="639" xr:uid="{00000000-0005-0000-0000-0000AE020000}"/>
    <cellStyle name="Normal 14 2 2 2 2" xfId="640" xr:uid="{00000000-0005-0000-0000-0000AF020000}"/>
    <cellStyle name="Normal 14 2 2 2 2 2" xfId="641" xr:uid="{00000000-0005-0000-0000-0000B0020000}"/>
    <cellStyle name="Normal 14 2 2 2 2 2 2" xfId="642" xr:uid="{00000000-0005-0000-0000-0000B1020000}"/>
    <cellStyle name="Normal 14 2 2 2 2 3" xfId="643" xr:uid="{00000000-0005-0000-0000-0000B2020000}"/>
    <cellStyle name="Normal 14 2 2 2 3" xfId="644" xr:uid="{00000000-0005-0000-0000-0000B3020000}"/>
    <cellStyle name="Normal 14 2 2 2 3 2" xfId="645" xr:uid="{00000000-0005-0000-0000-0000B4020000}"/>
    <cellStyle name="Normal 14 2 2 2 4" xfId="646" xr:uid="{00000000-0005-0000-0000-0000B5020000}"/>
    <cellStyle name="Normal 14 2 2 2_Cover Page (r)" xfId="647" xr:uid="{00000000-0005-0000-0000-0000B6020000}"/>
    <cellStyle name="Normal 14 2 2 3" xfId="648" xr:uid="{00000000-0005-0000-0000-0000B7020000}"/>
    <cellStyle name="Normal 14 2 2 3 2" xfId="649" xr:uid="{00000000-0005-0000-0000-0000B8020000}"/>
    <cellStyle name="Normal 14 2 2 3 2 2" xfId="650" xr:uid="{00000000-0005-0000-0000-0000B9020000}"/>
    <cellStyle name="Normal 14 2 2 3 3" xfId="651" xr:uid="{00000000-0005-0000-0000-0000BA020000}"/>
    <cellStyle name="Normal 14 2 2 4" xfId="652" xr:uid="{00000000-0005-0000-0000-0000BB020000}"/>
    <cellStyle name="Normal 14 2 2 4 2" xfId="653" xr:uid="{00000000-0005-0000-0000-0000BC020000}"/>
    <cellStyle name="Normal 14 2 2 5" xfId="654" xr:uid="{00000000-0005-0000-0000-0000BD020000}"/>
    <cellStyle name="Normal 14 2 2_Cover Page (r)" xfId="655" xr:uid="{00000000-0005-0000-0000-0000BE020000}"/>
    <cellStyle name="Normal 14 2 3" xfId="656" xr:uid="{00000000-0005-0000-0000-0000BF020000}"/>
    <cellStyle name="Normal 14 2 3 2" xfId="657" xr:uid="{00000000-0005-0000-0000-0000C0020000}"/>
    <cellStyle name="Normal 14 2 3 2 2" xfId="658" xr:uid="{00000000-0005-0000-0000-0000C1020000}"/>
    <cellStyle name="Normal 14 2 3 2 2 2" xfId="659" xr:uid="{00000000-0005-0000-0000-0000C2020000}"/>
    <cellStyle name="Normal 14 2 3 2 3" xfId="660" xr:uid="{00000000-0005-0000-0000-0000C3020000}"/>
    <cellStyle name="Normal 14 2 3 3" xfId="661" xr:uid="{00000000-0005-0000-0000-0000C4020000}"/>
    <cellStyle name="Normal 14 2 3 3 2" xfId="662" xr:uid="{00000000-0005-0000-0000-0000C5020000}"/>
    <cellStyle name="Normal 14 2 3 4" xfId="663" xr:uid="{00000000-0005-0000-0000-0000C6020000}"/>
    <cellStyle name="Normal 14 2 3_Cover Page (r)" xfId="664" xr:uid="{00000000-0005-0000-0000-0000C7020000}"/>
    <cellStyle name="Normal 14 2 4" xfId="665" xr:uid="{00000000-0005-0000-0000-0000C8020000}"/>
    <cellStyle name="Normal 14 2 4 2" xfId="666" xr:uid="{00000000-0005-0000-0000-0000C9020000}"/>
    <cellStyle name="Normal 14 2 4 2 2" xfId="667" xr:uid="{00000000-0005-0000-0000-0000CA020000}"/>
    <cellStyle name="Normal 14 2 4 3" xfId="668" xr:uid="{00000000-0005-0000-0000-0000CB020000}"/>
    <cellStyle name="Normal 14 2 5" xfId="669" xr:uid="{00000000-0005-0000-0000-0000CC020000}"/>
    <cellStyle name="Normal 14 2 5 2" xfId="670" xr:uid="{00000000-0005-0000-0000-0000CD020000}"/>
    <cellStyle name="Normal 14 2 6" xfId="671" xr:uid="{00000000-0005-0000-0000-0000CE020000}"/>
    <cellStyle name="Normal 14 2_Cover Page (r)" xfId="672" xr:uid="{00000000-0005-0000-0000-0000CF020000}"/>
    <cellStyle name="Normal 14 3" xfId="673" xr:uid="{00000000-0005-0000-0000-0000D0020000}"/>
    <cellStyle name="Normal 14 3 2" xfId="674" xr:uid="{00000000-0005-0000-0000-0000D1020000}"/>
    <cellStyle name="Normal 14 3 2 2" xfId="675" xr:uid="{00000000-0005-0000-0000-0000D2020000}"/>
    <cellStyle name="Normal 14 3 2 2 2" xfId="676" xr:uid="{00000000-0005-0000-0000-0000D3020000}"/>
    <cellStyle name="Normal 14 3 2 2 2 2" xfId="677" xr:uid="{00000000-0005-0000-0000-0000D4020000}"/>
    <cellStyle name="Normal 14 3 2 2 3" xfId="678" xr:uid="{00000000-0005-0000-0000-0000D5020000}"/>
    <cellStyle name="Normal 14 3 2 3" xfId="679" xr:uid="{00000000-0005-0000-0000-0000D6020000}"/>
    <cellStyle name="Normal 14 3 2 3 2" xfId="680" xr:uid="{00000000-0005-0000-0000-0000D7020000}"/>
    <cellStyle name="Normal 14 3 2 4" xfId="681" xr:uid="{00000000-0005-0000-0000-0000D8020000}"/>
    <cellStyle name="Normal 14 3 2_Cover Page (r)" xfId="682" xr:uid="{00000000-0005-0000-0000-0000D9020000}"/>
    <cellStyle name="Normal 14 3 3" xfId="683" xr:uid="{00000000-0005-0000-0000-0000DA020000}"/>
    <cellStyle name="Normal 14 3 3 2" xfId="684" xr:uid="{00000000-0005-0000-0000-0000DB020000}"/>
    <cellStyle name="Normal 14 3 3 2 2" xfId="685" xr:uid="{00000000-0005-0000-0000-0000DC020000}"/>
    <cellStyle name="Normal 14 3 3 3" xfId="686" xr:uid="{00000000-0005-0000-0000-0000DD020000}"/>
    <cellStyle name="Normal 14 3 4" xfId="687" xr:uid="{00000000-0005-0000-0000-0000DE020000}"/>
    <cellStyle name="Normal 14 3 4 2" xfId="688" xr:uid="{00000000-0005-0000-0000-0000DF020000}"/>
    <cellStyle name="Normal 14 3 5" xfId="689" xr:uid="{00000000-0005-0000-0000-0000E0020000}"/>
    <cellStyle name="Normal 14 3_Cover Page (r)" xfId="690" xr:uid="{00000000-0005-0000-0000-0000E1020000}"/>
    <cellStyle name="Normal 14 4" xfId="691" xr:uid="{00000000-0005-0000-0000-0000E2020000}"/>
    <cellStyle name="Normal 14 4 2" xfId="692" xr:uid="{00000000-0005-0000-0000-0000E3020000}"/>
    <cellStyle name="Normal 14 4 2 2" xfId="693" xr:uid="{00000000-0005-0000-0000-0000E4020000}"/>
    <cellStyle name="Normal 14 4 2 2 2" xfId="694" xr:uid="{00000000-0005-0000-0000-0000E5020000}"/>
    <cellStyle name="Normal 14 4 2 3" xfId="695" xr:uid="{00000000-0005-0000-0000-0000E6020000}"/>
    <cellStyle name="Normal 14 4 3" xfId="696" xr:uid="{00000000-0005-0000-0000-0000E7020000}"/>
    <cellStyle name="Normal 14 4 3 2" xfId="697" xr:uid="{00000000-0005-0000-0000-0000E8020000}"/>
    <cellStyle name="Normal 14 4 4" xfId="698" xr:uid="{00000000-0005-0000-0000-0000E9020000}"/>
    <cellStyle name="Normal 14 4_Cover Page (r)" xfId="699" xr:uid="{00000000-0005-0000-0000-0000EA020000}"/>
    <cellStyle name="Normal 14 5" xfId="700" xr:uid="{00000000-0005-0000-0000-0000EB020000}"/>
    <cellStyle name="Normal 14 5 2" xfId="701" xr:uid="{00000000-0005-0000-0000-0000EC020000}"/>
    <cellStyle name="Normal 14 5 2 2" xfId="702" xr:uid="{00000000-0005-0000-0000-0000ED020000}"/>
    <cellStyle name="Normal 14 5 3" xfId="703" xr:uid="{00000000-0005-0000-0000-0000EE020000}"/>
    <cellStyle name="Normal 14 6" xfId="704" xr:uid="{00000000-0005-0000-0000-0000EF020000}"/>
    <cellStyle name="Normal 14 6 2" xfId="705" xr:uid="{00000000-0005-0000-0000-0000F0020000}"/>
    <cellStyle name="Normal 14 7" xfId="706" xr:uid="{00000000-0005-0000-0000-0000F1020000}"/>
    <cellStyle name="Normal 14_Cover Page (r)" xfId="707" xr:uid="{00000000-0005-0000-0000-0000F2020000}"/>
    <cellStyle name="Normal 15" xfId="708" xr:uid="{00000000-0005-0000-0000-0000F3020000}"/>
    <cellStyle name="Normal 15 2" xfId="709" xr:uid="{00000000-0005-0000-0000-0000F4020000}"/>
    <cellStyle name="Normal 15 2 2" xfId="710" xr:uid="{00000000-0005-0000-0000-0000F5020000}"/>
    <cellStyle name="Normal 15 2 2 2" xfId="711" xr:uid="{00000000-0005-0000-0000-0000F6020000}"/>
    <cellStyle name="Normal 15 2 2 2 2" xfId="712" xr:uid="{00000000-0005-0000-0000-0000F7020000}"/>
    <cellStyle name="Normal 15 2 2 2 2 2" xfId="713" xr:uid="{00000000-0005-0000-0000-0000F8020000}"/>
    <cellStyle name="Normal 15 2 2 2 2 2 2" xfId="714" xr:uid="{00000000-0005-0000-0000-0000F9020000}"/>
    <cellStyle name="Normal 15 2 2 2 2 3" xfId="715" xr:uid="{00000000-0005-0000-0000-0000FA020000}"/>
    <cellStyle name="Normal 15 2 2 2 3" xfId="716" xr:uid="{00000000-0005-0000-0000-0000FB020000}"/>
    <cellStyle name="Normal 15 2 2 2 3 2" xfId="717" xr:uid="{00000000-0005-0000-0000-0000FC020000}"/>
    <cellStyle name="Normal 15 2 2 2 4" xfId="718" xr:uid="{00000000-0005-0000-0000-0000FD020000}"/>
    <cellStyle name="Normal 15 2 2 2_Cover Page (r)" xfId="719" xr:uid="{00000000-0005-0000-0000-0000FE020000}"/>
    <cellStyle name="Normal 15 2 2 3" xfId="720" xr:uid="{00000000-0005-0000-0000-0000FF020000}"/>
    <cellStyle name="Normal 15 2 2 3 2" xfId="721" xr:uid="{00000000-0005-0000-0000-000000030000}"/>
    <cellStyle name="Normal 15 2 2 3 2 2" xfId="722" xr:uid="{00000000-0005-0000-0000-000001030000}"/>
    <cellStyle name="Normal 15 2 2 3 3" xfId="723" xr:uid="{00000000-0005-0000-0000-000002030000}"/>
    <cellStyle name="Normal 15 2 2 4" xfId="724" xr:uid="{00000000-0005-0000-0000-000003030000}"/>
    <cellStyle name="Normal 15 2 2 4 2" xfId="725" xr:uid="{00000000-0005-0000-0000-000004030000}"/>
    <cellStyle name="Normal 15 2 2 5" xfId="726" xr:uid="{00000000-0005-0000-0000-000005030000}"/>
    <cellStyle name="Normal 15 2 2_Cover Page (r)" xfId="727" xr:uid="{00000000-0005-0000-0000-000006030000}"/>
    <cellStyle name="Normal 15 2 3" xfId="728" xr:uid="{00000000-0005-0000-0000-000007030000}"/>
    <cellStyle name="Normal 15 2 3 2" xfId="729" xr:uid="{00000000-0005-0000-0000-000008030000}"/>
    <cellStyle name="Normal 15 2 3 2 2" xfId="730" xr:uid="{00000000-0005-0000-0000-000009030000}"/>
    <cellStyle name="Normal 15 2 3 2 2 2" xfId="731" xr:uid="{00000000-0005-0000-0000-00000A030000}"/>
    <cellStyle name="Normal 15 2 3 2 3" xfId="732" xr:uid="{00000000-0005-0000-0000-00000B030000}"/>
    <cellStyle name="Normal 15 2 3 3" xfId="733" xr:uid="{00000000-0005-0000-0000-00000C030000}"/>
    <cellStyle name="Normal 15 2 3 3 2" xfId="734" xr:uid="{00000000-0005-0000-0000-00000D030000}"/>
    <cellStyle name="Normal 15 2 3 4" xfId="735" xr:uid="{00000000-0005-0000-0000-00000E030000}"/>
    <cellStyle name="Normal 15 2 3_Cover Page (r)" xfId="736" xr:uid="{00000000-0005-0000-0000-00000F030000}"/>
    <cellStyle name="Normal 15 2 4" xfId="737" xr:uid="{00000000-0005-0000-0000-000010030000}"/>
    <cellStyle name="Normal 15 2 4 2" xfId="738" xr:uid="{00000000-0005-0000-0000-000011030000}"/>
    <cellStyle name="Normal 15 2 4 2 2" xfId="739" xr:uid="{00000000-0005-0000-0000-000012030000}"/>
    <cellStyle name="Normal 15 2 4 3" xfId="740" xr:uid="{00000000-0005-0000-0000-000013030000}"/>
    <cellStyle name="Normal 15 2 5" xfId="741" xr:uid="{00000000-0005-0000-0000-000014030000}"/>
    <cellStyle name="Normal 15 2 5 2" xfId="742" xr:uid="{00000000-0005-0000-0000-000015030000}"/>
    <cellStyle name="Normal 15 2 6" xfId="743" xr:uid="{00000000-0005-0000-0000-000016030000}"/>
    <cellStyle name="Normal 15 2_Cover Page (r)" xfId="744" xr:uid="{00000000-0005-0000-0000-000017030000}"/>
    <cellStyle name="Normal 15 3" xfId="745" xr:uid="{00000000-0005-0000-0000-000018030000}"/>
    <cellStyle name="Normal 15 3 2" xfId="746" xr:uid="{00000000-0005-0000-0000-000019030000}"/>
    <cellStyle name="Normal 15 3 2 2" xfId="747" xr:uid="{00000000-0005-0000-0000-00001A030000}"/>
    <cellStyle name="Normal 15 3 2 2 2" xfId="748" xr:uid="{00000000-0005-0000-0000-00001B030000}"/>
    <cellStyle name="Normal 15 3 2 2 2 2" xfId="749" xr:uid="{00000000-0005-0000-0000-00001C030000}"/>
    <cellStyle name="Normal 15 3 2 2 3" xfId="750" xr:uid="{00000000-0005-0000-0000-00001D030000}"/>
    <cellStyle name="Normal 15 3 2 3" xfId="751" xr:uid="{00000000-0005-0000-0000-00001E030000}"/>
    <cellStyle name="Normal 15 3 2 3 2" xfId="752" xr:uid="{00000000-0005-0000-0000-00001F030000}"/>
    <cellStyle name="Normal 15 3 2 4" xfId="753" xr:uid="{00000000-0005-0000-0000-000020030000}"/>
    <cellStyle name="Normal 15 3 2_Cover Page (r)" xfId="754" xr:uid="{00000000-0005-0000-0000-000021030000}"/>
    <cellStyle name="Normal 15 3 3" xfId="755" xr:uid="{00000000-0005-0000-0000-000022030000}"/>
    <cellStyle name="Normal 15 3 3 2" xfId="756" xr:uid="{00000000-0005-0000-0000-000023030000}"/>
    <cellStyle name="Normal 15 3 3 2 2" xfId="757" xr:uid="{00000000-0005-0000-0000-000024030000}"/>
    <cellStyle name="Normal 15 3 3 3" xfId="758" xr:uid="{00000000-0005-0000-0000-000025030000}"/>
    <cellStyle name="Normal 15 3 4" xfId="759" xr:uid="{00000000-0005-0000-0000-000026030000}"/>
    <cellStyle name="Normal 15 3 4 2" xfId="760" xr:uid="{00000000-0005-0000-0000-000027030000}"/>
    <cellStyle name="Normal 15 3 5" xfId="761" xr:uid="{00000000-0005-0000-0000-000028030000}"/>
    <cellStyle name="Normal 15 3_Cover Page (r)" xfId="762" xr:uid="{00000000-0005-0000-0000-000029030000}"/>
    <cellStyle name="Normal 15 4" xfId="763" xr:uid="{00000000-0005-0000-0000-00002A030000}"/>
    <cellStyle name="Normal 15 4 2" xfId="764" xr:uid="{00000000-0005-0000-0000-00002B030000}"/>
    <cellStyle name="Normal 15 4 2 2" xfId="765" xr:uid="{00000000-0005-0000-0000-00002C030000}"/>
    <cellStyle name="Normal 15 4 2 2 2" xfId="766" xr:uid="{00000000-0005-0000-0000-00002D030000}"/>
    <cellStyle name="Normal 15 4 2 3" xfId="767" xr:uid="{00000000-0005-0000-0000-00002E030000}"/>
    <cellStyle name="Normal 15 4 3" xfId="768" xr:uid="{00000000-0005-0000-0000-00002F030000}"/>
    <cellStyle name="Normal 15 4 3 2" xfId="769" xr:uid="{00000000-0005-0000-0000-000030030000}"/>
    <cellStyle name="Normal 15 4 4" xfId="770" xr:uid="{00000000-0005-0000-0000-000031030000}"/>
    <cellStyle name="Normal 15 4_Cover Page (r)" xfId="771" xr:uid="{00000000-0005-0000-0000-000032030000}"/>
    <cellStyle name="Normal 15 5" xfId="772" xr:uid="{00000000-0005-0000-0000-000033030000}"/>
    <cellStyle name="Normal 15 5 2" xfId="773" xr:uid="{00000000-0005-0000-0000-000034030000}"/>
    <cellStyle name="Normal 15 5 2 2" xfId="774" xr:uid="{00000000-0005-0000-0000-000035030000}"/>
    <cellStyle name="Normal 15 5 3" xfId="775" xr:uid="{00000000-0005-0000-0000-000036030000}"/>
    <cellStyle name="Normal 15 6" xfId="776" xr:uid="{00000000-0005-0000-0000-000037030000}"/>
    <cellStyle name="Normal 15 6 2" xfId="777" xr:uid="{00000000-0005-0000-0000-000038030000}"/>
    <cellStyle name="Normal 15 7" xfId="778" xr:uid="{00000000-0005-0000-0000-000039030000}"/>
    <cellStyle name="Normal 15_Cover Page (r)" xfId="779" xr:uid="{00000000-0005-0000-0000-00003A030000}"/>
    <cellStyle name="Normal 16" xfId="780" xr:uid="{00000000-0005-0000-0000-00003B030000}"/>
    <cellStyle name="Normal 16 2" xfId="781" xr:uid="{00000000-0005-0000-0000-00003C030000}"/>
    <cellStyle name="Normal 16 2 2" xfId="782" xr:uid="{00000000-0005-0000-0000-00003D030000}"/>
    <cellStyle name="Normal 16 2 2 2" xfId="783" xr:uid="{00000000-0005-0000-0000-00003E030000}"/>
    <cellStyle name="Normal 16 2 2 2 2" xfId="784" xr:uid="{00000000-0005-0000-0000-00003F030000}"/>
    <cellStyle name="Normal 16 2 2 2 2 2" xfId="785" xr:uid="{00000000-0005-0000-0000-000040030000}"/>
    <cellStyle name="Normal 16 2 2 2 2 2 2" xfId="786" xr:uid="{00000000-0005-0000-0000-000041030000}"/>
    <cellStyle name="Normal 16 2 2 2 2 3" xfId="787" xr:uid="{00000000-0005-0000-0000-000042030000}"/>
    <cellStyle name="Normal 16 2 2 2 3" xfId="788" xr:uid="{00000000-0005-0000-0000-000043030000}"/>
    <cellStyle name="Normal 16 2 2 2 3 2" xfId="789" xr:uid="{00000000-0005-0000-0000-000044030000}"/>
    <cellStyle name="Normal 16 2 2 2 4" xfId="790" xr:uid="{00000000-0005-0000-0000-000045030000}"/>
    <cellStyle name="Normal 16 2 2 2_Cover Page (r)" xfId="791" xr:uid="{00000000-0005-0000-0000-000046030000}"/>
    <cellStyle name="Normal 16 2 2 3" xfId="792" xr:uid="{00000000-0005-0000-0000-000047030000}"/>
    <cellStyle name="Normal 16 2 2 3 2" xfId="793" xr:uid="{00000000-0005-0000-0000-000048030000}"/>
    <cellStyle name="Normal 16 2 2 3 2 2" xfId="794" xr:uid="{00000000-0005-0000-0000-000049030000}"/>
    <cellStyle name="Normal 16 2 2 3 3" xfId="795" xr:uid="{00000000-0005-0000-0000-00004A030000}"/>
    <cellStyle name="Normal 16 2 2 4" xfId="796" xr:uid="{00000000-0005-0000-0000-00004B030000}"/>
    <cellStyle name="Normal 16 2 2 4 2" xfId="797" xr:uid="{00000000-0005-0000-0000-00004C030000}"/>
    <cellStyle name="Normal 16 2 2 5" xfId="798" xr:uid="{00000000-0005-0000-0000-00004D030000}"/>
    <cellStyle name="Normal 16 2 2_Cover Page (r)" xfId="799" xr:uid="{00000000-0005-0000-0000-00004E030000}"/>
    <cellStyle name="Normal 16 2 3" xfId="800" xr:uid="{00000000-0005-0000-0000-00004F030000}"/>
    <cellStyle name="Normal 16 2 3 2" xfId="801" xr:uid="{00000000-0005-0000-0000-000050030000}"/>
    <cellStyle name="Normal 16 2 3 2 2" xfId="802" xr:uid="{00000000-0005-0000-0000-000051030000}"/>
    <cellStyle name="Normal 16 2 3 2 2 2" xfId="803" xr:uid="{00000000-0005-0000-0000-000052030000}"/>
    <cellStyle name="Normal 16 2 3 2 3" xfId="804" xr:uid="{00000000-0005-0000-0000-000053030000}"/>
    <cellStyle name="Normal 16 2 3 3" xfId="805" xr:uid="{00000000-0005-0000-0000-000054030000}"/>
    <cellStyle name="Normal 16 2 3 3 2" xfId="806" xr:uid="{00000000-0005-0000-0000-000055030000}"/>
    <cellStyle name="Normal 16 2 3 4" xfId="807" xr:uid="{00000000-0005-0000-0000-000056030000}"/>
    <cellStyle name="Normal 16 2 3_Cover Page (r)" xfId="808" xr:uid="{00000000-0005-0000-0000-000057030000}"/>
    <cellStyle name="Normal 16 2 4" xfId="809" xr:uid="{00000000-0005-0000-0000-000058030000}"/>
    <cellStyle name="Normal 16 2 4 2" xfId="810" xr:uid="{00000000-0005-0000-0000-000059030000}"/>
    <cellStyle name="Normal 16 2 4 2 2" xfId="811" xr:uid="{00000000-0005-0000-0000-00005A030000}"/>
    <cellStyle name="Normal 16 2 4 3" xfId="812" xr:uid="{00000000-0005-0000-0000-00005B030000}"/>
    <cellStyle name="Normal 16 2 5" xfId="813" xr:uid="{00000000-0005-0000-0000-00005C030000}"/>
    <cellStyle name="Normal 16 2 5 2" xfId="814" xr:uid="{00000000-0005-0000-0000-00005D030000}"/>
    <cellStyle name="Normal 16 2 6" xfId="815" xr:uid="{00000000-0005-0000-0000-00005E030000}"/>
    <cellStyle name="Normal 16 2_Cover Page (r)" xfId="816" xr:uid="{00000000-0005-0000-0000-00005F030000}"/>
    <cellStyle name="Normal 16 3" xfId="817" xr:uid="{00000000-0005-0000-0000-000060030000}"/>
    <cellStyle name="Normal 16 3 2" xfId="818" xr:uid="{00000000-0005-0000-0000-000061030000}"/>
    <cellStyle name="Normal 16 3 2 2" xfId="819" xr:uid="{00000000-0005-0000-0000-000062030000}"/>
    <cellStyle name="Normal 16 3 2 2 2" xfId="820" xr:uid="{00000000-0005-0000-0000-000063030000}"/>
    <cellStyle name="Normal 16 3 2 2 2 2" xfId="821" xr:uid="{00000000-0005-0000-0000-000064030000}"/>
    <cellStyle name="Normal 16 3 2 2 3" xfId="822" xr:uid="{00000000-0005-0000-0000-000065030000}"/>
    <cellStyle name="Normal 16 3 2 3" xfId="823" xr:uid="{00000000-0005-0000-0000-000066030000}"/>
    <cellStyle name="Normal 16 3 2 3 2" xfId="824" xr:uid="{00000000-0005-0000-0000-000067030000}"/>
    <cellStyle name="Normal 16 3 2 4" xfId="825" xr:uid="{00000000-0005-0000-0000-000068030000}"/>
    <cellStyle name="Normal 16 3 2_Cover Page (r)" xfId="826" xr:uid="{00000000-0005-0000-0000-000069030000}"/>
    <cellStyle name="Normal 16 3 3" xfId="827" xr:uid="{00000000-0005-0000-0000-00006A030000}"/>
    <cellStyle name="Normal 16 3 3 2" xfId="828" xr:uid="{00000000-0005-0000-0000-00006B030000}"/>
    <cellStyle name="Normal 16 3 3 2 2" xfId="829" xr:uid="{00000000-0005-0000-0000-00006C030000}"/>
    <cellStyle name="Normal 16 3 3 3" xfId="830" xr:uid="{00000000-0005-0000-0000-00006D030000}"/>
    <cellStyle name="Normal 16 3 4" xfId="831" xr:uid="{00000000-0005-0000-0000-00006E030000}"/>
    <cellStyle name="Normal 16 3 4 2" xfId="832" xr:uid="{00000000-0005-0000-0000-00006F030000}"/>
    <cellStyle name="Normal 16 3 5" xfId="833" xr:uid="{00000000-0005-0000-0000-000070030000}"/>
    <cellStyle name="Normal 16 3_Cover Page (r)" xfId="834" xr:uid="{00000000-0005-0000-0000-000071030000}"/>
    <cellStyle name="Normal 16 4" xfId="835" xr:uid="{00000000-0005-0000-0000-000072030000}"/>
    <cellStyle name="Normal 16 4 2" xfId="836" xr:uid="{00000000-0005-0000-0000-000073030000}"/>
    <cellStyle name="Normal 16 4 2 2" xfId="837" xr:uid="{00000000-0005-0000-0000-000074030000}"/>
    <cellStyle name="Normal 16 4 2 2 2" xfId="838" xr:uid="{00000000-0005-0000-0000-000075030000}"/>
    <cellStyle name="Normal 16 4 2 3" xfId="839" xr:uid="{00000000-0005-0000-0000-000076030000}"/>
    <cellStyle name="Normal 16 4 3" xfId="840" xr:uid="{00000000-0005-0000-0000-000077030000}"/>
    <cellStyle name="Normal 16 4 3 2" xfId="841" xr:uid="{00000000-0005-0000-0000-000078030000}"/>
    <cellStyle name="Normal 16 4 4" xfId="842" xr:uid="{00000000-0005-0000-0000-000079030000}"/>
    <cellStyle name="Normal 16 4_Cover Page (r)" xfId="843" xr:uid="{00000000-0005-0000-0000-00007A030000}"/>
    <cellStyle name="Normal 16 5" xfId="844" xr:uid="{00000000-0005-0000-0000-00007B030000}"/>
    <cellStyle name="Normal 16 5 2" xfId="845" xr:uid="{00000000-0005-0000-0000-00007C030000}"/>
    <cellStyle name="Normal 16 5 2 2" xfId="846" xr:uid="{00000000-0005-0000-0000-00007D030000}"/>
    <cellStyle name="Normal 16 5 3" xfId="847" xr:uid="{00000000-0005-0000-0000-00007E030000}"/>
    <cellStyle name="Normal 16 6" xfId="848" xr:uid="{00000000-0005-0000-0000-00007F030000}"/>
    <cellStyle name="Normal 16 6 2" xfId="849" xr:uid="{00000000-0005-0000-0000-000080030000}"/>
    <cellStyle name="Normal 16 7" xfId="850" xr:uid="{00000000-0005-0000-0000-000081030000}"/>
    <cellStyle name="Normal 16_Cover Page (r)" xfId="851" xr:uid="{00000000-0005-0000-0000-000082030000}"/>
    <cellStyle name="Normal 17" xfId="852" xr:uid="{00000000-0005-0000-0000-000083030000}"/>
    <cellStyle name="Normal 17 2" xfId="853" xr:uid="{00000000-0005-0000-0000-000084030000}"/>
    <cellStyle name="Normal 17 2 2" xfId="854" xr:uid="{00000000-0005-0000-0000-000085030000}"/>
    <cellStyle name="Normal 17 2 2 2" xfId="855" xr:uid="{00000000-0005-0000-0000-000086030000}"/>
    <cellStyle name="Normal 17 2 2 2 2" xfId="856" xr:uid="{00000000-0005-0000-0000-000087030000}"/>
    <cellStyle name="Normal 17 2 2 2 2 2" xfId="857" xr:uid="{00000000-0005-0000-0000-000088030000}"/>
    <cellStyle name="Normal 17 2 2 2 2 2 2" xfId="858" xr:uid="{00000000-0005-0000-0000-000089030000}"/>
    <cellStyle name="Normal 17 2 2 2 2 3" xfId="859" xr:uid="{00000000-0005-0000-0000-00008A030000}"/>
    <cellStyle name="Normal 17 2 2 2 3" xfId="860" xr:uid="{00000000-0005-0000-0000-00008B030000}"/>
    <cellStyle name="Normal 17 2 2 2 3 2" xfId="861" xr:uid="{00000000-0005-0000-0000-00008C030000}"/>
    <cellStyle name="Normal 17 2 2 2 4" xfId="862" xr:uid="{00000000-0005-0000-0000-00008D030000}"/>
    <cellStyle name="Normal 17 2 2 2_Cover Page (r)" xfId="863" xr:uid="{00000000-0005-0000-0000-00008E030000}"/>
    <cellStyle name="Normal 17 2 2 3" xfId="864" xr:uid="{00000000-0005-0000-0000-00008F030000}"/>
    <cellStyle name="Normal 17 2 2 3 2" xfId="865" xr:uid="{00000000-0005-0000-0000-000090030000}"/>
    <cellStyle name="Normal 17 2 2 3 2 2" xfId="866" xr:uid="{00000000-0005-0000-0000-000091030000}"/>
    <cellStyle name="Normal 17 2 2 3 3" xfId="867" xr:uid="{00000000-0005-0000-0000-000092030000}"/>
    <cellStyle name="Normal 17 2 2 4" xfId="868" xr:uid="{00000000-0005-0000-0000-000093030000}"/>
    <cellStyle name="Normal 17 2 2 4 2" xfId="869" xr:uid="{00000000-0005-0000-0000-000094030000}"/>
    <cellStyle name="Normal 17 2 2 5" xfId="870" xr:uid="{00000000-0005-0000-0000-000095030000}"/>
    <cellStyle name="Normal 17 2 2_Cover Page (r)" xfId="871" xr:uid="{00000000-0005-0000-0000-000096030000}"/>
    <cellStyle name="Normal 17 2 3" xfId="872" xr:uid="{00000000-0005-0000-0000-000097030000}"/>
    <cellStyle name="Normal 17 2 3 2" xfId="873" xr:uid="{00000000-0005-0000-0000-000098030000}"/>
    <cellStyle name="Normal 17 2 3 2 2" xfId="874" xr:uid="{00000000-0005-0000-0000-000099030000}"/>
    <cellStyle name="Normal 17 2 3 2 2 2" xfId="875" xr:uid="{00000000-0005-0000-0000-00009A030000}"/>
    <cellStyle name="Normal 17 2 3 2 3" xfId="876" xr:uid="{00000000-0005-0000-0000-00009B030000}"/>
    <cellStyle name="Normal 17 2 3 3" xfId="877" xr:uid="{00000000-0005-0000-0000-00009C030000}"/>
    <cellStyle name="Normal 17 2 3 3 2" xfId="878" xr:uid="{00000000-0005-0000-0000-00009D030000}"/>
    <cellStyle name="Normal 17 2 3 4" xfId="879" xr:uid="{00000000-0005-0000-0000-00009E030000}"/>
    <cellStyle name="Normal 17 2 3_Cover Page (r)" xfId="880" xr:uid="{00000000-0005-0000-0000-00009F030000}"/>
    <cellStyle name="Normal 17 2 4" xfId="881" xr:uid="{00000000-0005-0000-0000-0000A0030000}"/>
    <cellStyle name="Normal 17 2 4 2" xfId="882" xr:uid="{00000000-0005-0000-0000-0000A1030000}"/>
    <cellStyle name="Normal 17 2 4 2 2" xfId="883" xr:uid="{00000000-0005-0000-0000-0000A2030000}"/>
    <cellStyle name="Normal 17 2 4 3" xfId="884" xr:uid="{00000000-0005-0000-0000-0000A3030000}"/>
    <cellStyle name="Normal 17 2 5" xfId="885" xr:uid="{00000000-0005-0000-0000-0000A4030000}"/>
    <cellStyle name="Normal 17 2 5 2" xfId="886" xr:uid="{00000000-0005-0000-0000-0000A5030000}"/>
    <cellStyle name="Normal 17 2 6" xfId="887" xr:uid="{00000000-0005-0000-0000-0000A6030000}"/>
    <cellStyle name="Normal 17 2_Cover Page (r)" xfId="888" xr:uid="{00000000-0005-0000-0000-0000A7030000}"/>
    <cellStyle name="Normal 17 3" xfId="889" xr:uid="{00000000-0005-0000-0000-0000A8030000}"/>
    <cellStyle name="Normal 17 3 2" xfId="890" xr:uid="{00000000-0005-0000-0000-0000A9030000}"/>
    <cellStyle name="Normal 17 3 2 2" xfId="891" xr:uid="{00000000-0005-0000-0000-0000AA030000}"/>
    <cellStyle name="Normal 17 3 2 2 2" xfId="892" xr:uid="{00000000-0005-0000-0000-0000AB030000}"/>
    <cellStyle name="Normal 17 3 2 2 2 2" xfId="893" xr:uid="{00000000-0005-0000-0000-0000AC030000}"/>
    <cellStyle name="Normal 17 3 2 2 3" xfId="894" xr:uid="{00000000-0005-0000-0000-0000AD030000}"/>
    <cellStyle name="Normal 17 3 2 3" xfId="895" xr:uid="{00000000-0005-0000-0000-0000AE030000}"/>
    <cellStyle name="Normal 17 3 2 3 2" xfId="896" xr:uid="{00000000-0005-0000-0000-0000AF030000}"/>
    <cellStyle name="Normal 17 3 2 4" xfId="897" xr:uid="{00000000-0005-0000-0000-0000B0030000}"/>
    <cellStyle name="Normal 17 3 2_Cover Page (r)" xfId="898" xr:uid="{00000000-0005-0000-0000-0000B1030000}"/>
    <cellStyle name="Normal 17 3 3" xfId="899" xr:uid="{00000000-0005-0000-0000-0000B2030000}"/>
    <cellStyle name="Normal 17 3 3 2" xfId="900" xr:uid="{00000000-0005-0000-0000-0000B3030000}"/>
    <cellStyle name="Normal 17 3 3 2 2" xfId="901" xr:uid="{00000000-0005-0000-0000-0000B4030000}"/>
    <cellStyle name="Normal 17 3 3 3" xfId="902" xr:uid="{00000000-0005-0000-0000-0000B5030000}"/>
    <cellStyle name="Normal 17 3 4" xfId="903" xr:uid="{00000000-0005-0000-0000-0000B6030000}"/>
    <cellStyle name="Normal 17 3 4 2" xfId="904" xr:uid="{00000000-0005-0000-0000-0000B7030000}"/>
    <cellStyle name="Normal 17 3 5" xfId="905" xr:uid="{00000000-0005-0000-0000-0000B8030000}"/>
    <cellStyle name="Normal 17 3_Cover Page (r)" xfId="906" xr:uid="{00000000-0005-0000-0000-0000B9030000}"/>
    <cellStyle name="Normal 17 4" xfId="907" xr:uid="{00000000-0005-0000-0000-0000BA030000}"/>
    <cellStyle name="Normal 17 4 2" xfId="908" xr:uid="{00000000-0005-0000-0000-0000BB030000}"/>
    <cellStyle name="Normal 17 4 2 2" xfId="909" xr:uid="{00000000-0005-0000-0000-0000BC030000}"/>
    <cellStyle name="Normal 17 4 2 2 2" xfId="910" xr:uid="{00000000-0005-0000-0000-0000BD030000}"/>
    <cellStyle name="Normal 17 4 2 3" xfId="911" xr:uid="{00000000-0005-0000-0000-0000BE030000}"/>
    <cellStyle name="Normal 17 4 3" xfId="912" xr:uid="{00000000-0005-0000-0000-0000BF030000}"/>
    <cellStyle name="Normal 17 4 3 2" xfId="913" xr:uid="{00000000-0005-0000-0000-0000C0030000}"/>
    <cellStyle name="Normal 17 4 4" xfId="914" xr:uid="{00000000-0005-0000-0000-0000C1030000}"/>
    <cellStyle name="Normal 17 4_Cover Page (r)" xfId="915" xr:uid="{00000000-0005-0000-0000-0000C2030000}"/>
    <cellStyle name="Normal 17 5" xfId="916" xr:uid="{00000000-0005-0000-0000-0000C3030000}"/>
    <cellStyle name="Normal 17 5 2" xfId="917" xr:uid="{00000000-0005-0000-0000-0000C4030000}"/>
    <cellStyle name="Normal 17 5 2 2" xfId="918" xr:uid="{00000000-0005-0000-0000-0000C5030000}"/>
    <cellStyle name="Normal 17 5 3" xfId="919" xr:uid="{00000000-0005-0000-0000-0000C6030000}"/>
    <cellStyle name="Normal 17 6" xfId="920" xr:uid="{00000000-0005-0000-0000-0000C7030000}"/>
    <cellStyle name="Normal 17 6 2" xfId="921" xr:uid="{00000000-0005-0000-0000-0000C8030000}"/>
    <cellStyle name="Normal 17 7" xfId="922" xr:uid="{00000000-0005-0000-0000-0000C9030000}"/>
    <cellStyle name="Normal 17_Cover Page (r)" xfId="923" xr:uid="{00000000-0005-0000-0000-0000CA030000}"/>
    <cellStyle name="Normal 18" xfId="924" xr:uid="{00000000-0005-0000-0000-0000CB030000}"/>
    <cellStyle name="Normal 18 2" xfId="925" xr:uid="{00000000-0005-0000-0000-0000CC030000}"/>
    <cellStyle name="Normal 18 2 2" xfId="926" xr:uid="{00000000-0005-0000-0000-0000CD030000}"/>
    <cellStyle name="Normal 18 2 2 2" xfId="927" xr:uid="{00000000-0005-0000-0000-0000CE030000}"/>
    <cellStyle name="Normal 18 2 2 2 2" xfId="928" xr:uid="{00000000-0005-0000-0000-0000CF030000}"/>
    <cellStyle name="Normal 18 2 2 2 2 2" xfId="929" xr:uid="{00000000-0005-0000-0000-0000D0030000}"/>
    <cellStyle name="Normal 18 2 2 2 2 2 2" xfId="930" xr:uid="{00000000-0005-0000-0000-0000D1030000}"/>
    <cellStyle name="Normal 18 2 2 2 2 3" xfId="931" xr:uid="{00000000-0005-0000-0000-0000D2030000}"/>
    <cellStyle name="Normal 18 2 2 2 3" xfId="932" xr:uid="{00000000-0005-0000-0000-0000D3030000}"/>
    <cellStyle name="Normal 18 2 2 2 3 2" xfId="933" xr:uid="{00000000-0005-0000-0000-0000D4030000}"/>
    <cellStyle name="Normal 18 2 2 2 4" xfId="934" xr:uid="{00000000-0005-0000-0000-0000D5030000}"/>
    <cellStyle name="Normal 18 2 2 2_Cover Page (r)" xfId="935" xr:uid="{00000000-0005-0000-0000-0000D6030000}"/>
    <cellStyle name="Normal 18 2 2 3" xfId="936" xr:uid="{00000000-0005-0000-0000-0000D7030000}"/>
    <cellStyle name="Normal 18 2 2 3 2" xfId="937" xr:uid="{00000000-0005-0000-0000-0000D8030000}"/>
    <cellStyle name="Normal 18 2 2 3 2 2" xfId="938" xr:uid="{00000000-0005-0000-0000-0000D9030000}"/>
    <cellStyle name="Normal 18 2 2 3 3" xfId="939" xr:uid="{00000000-0005-0000-0000-0000DA030000}"/>
    <cellStyle name="Normal 18 2 2 4" xfId="940" xr:uid="{00000000-0005-0000-0000-0000DB030000}"/>
    <cellStyle name="Normal 18 2 2 4 2" xfId="941" xr:uid="{00000000-0005-0000-0000-0000DC030000}"/>
    <cellStyle name="Normal 18 2 2 5" xfId="942" xr:uid="{00000000-0005-0000-0000-0000DD030000}"/>
    <cellStyle name="Normal 18 2 2_Cover Page (r)" xfId="943" xr:uid="{00000000-0005-0000-0000-0000DE030000}"/>
    <cellStyle name="Normal 18 2 3" xfId="944" xr:uid="{00000000-0005-0000-0000-0000DF030000}"/>
    <cellStyle name="Normal 18 2 3 2" xfId="945" xr:uid="{00000000-0005-0000-0000-0000E0030000}"/>
    <cellStyle name="Normal 18 2 3 2 2" xfId="946" xr:uid="{00000000-0005-0000-0000-0000E1030000}"/>
    <cellStyle name="Normal 18 2 3 2 2 2" xfId="947" xr:uid="{00000000-0005-0000-0000-0000E2030000}"/>
    <cellStyle name="Normal 18 2 3 2 3" xfId="948" xr:uid="{00000000-0005-0000-0000-0000E3030000}"/>
    <cellStyle name="Normal 18 2 3 3" xfId="949" xr:uid="{00000000-0005-0000-0000-0000E4030000}"/>
    <cellStyle name="Normal 18 2 3 3 2" xfId="950" xr:uid="{00000000-0005-0000-0000-0000E5030000}"/>
    <cellStyle name="Normal 18 2 3 4" xfId="951" xr:uid="{00000000-0005-0000-0000-0000E6030000}"/>
    <cellStyle name="Normal 18 2 3_Cover Page (r)" xfId="952" xr:uid="{00000000-0005-0000-0000-0000E7030000}"/>
    <cellStyle name="Normal 18 2 4" xfId="953" xr:uid="{00000000-0005-0000-0000-0000E8030000}"/>
    <cellStyle name="Normal 18 2 4 2" xfId="954" xr:uid="{00000000-0005-0000-0000-0000E9030000}"/>
    <cellStyle name="Normal 18 2 4 2 2" xfId="955" xr:uid="{00000000-0005-0000-0000-0000EA030000}"/>
    <cellStyle name="Normal 18 2 4 3" xfId="956" xr:uid="{00000000-0005-0000-0000-0000EB030000}"/>
    <cellStyle name="Normal 18 2 5" xfId="957" xr:uid="{00000000-0005-0000-0000-0000EC030000}"/>
    <cellStyle name="Normal 18 2 5 2" xfId="958" xr:uid="{00000000-0005-0000-0000-0000ED030000}"/>
    <cellStyle name="Normal 18 2 6" xfId="959" xr:uid="{00000000-0005-0000-0000-0000EE030000}"/>
    <cellStyle name="Normal 18 2_Cover Page (r)" xfId="960" xr:uid="{00000000-0005-0000-0000-0000EF030000}"/>
    <cellStyle name="Normal 18 3" xfId="961" xr:uid="{00000000-0005-0000-0000-0000F0030000}"/>
    <cellStyle name="Normal 18 3 2" xfId="962" xr:uid="{00000000-0005-0000-0000-0000F1030000}"/>
    <cellStyle name="Normal 18 3 2 2" xfId="963" xr:uid="{00000000-0005-0000-0000-0000F2030000}"/>
    <cellStyle name="Normal 18 3 2 2 2" xfId="964" xr:uid="{00000000-0005-0000-0000-0000F3030000}"/>
    <cellStyle name="Normal 18 3 2 2 2 2" xfId="965" xr:uid="{00000000-0005-0000-0000-0000F4030000}"/>
    <cellStyle name="Normal 18 3 2 2 3" xfId="966" xr:uid="{00000000-0005-0000-0000-0000F5030000}"/>
    <cellStyle name="Normal 18 3 2 3" xfId="967" xr:uid="{00000000-0005-0000-0000-0000F6030000}"/>
    <cellStyle name="Normal 18 3 2 3 2" xfId="968" xr:uid="{00000000-0005-0000-0000-0000F7030000}"/>
    <cellStyle name="Normal 18 3 2 4" xfId="969" xr:uid="{00000000-0005-0000-0000-0000F8030000}"/>
    <cellStyle name="Normal 18 3 2_Cover Page (r)" xfId="970" xr:uid="{00000000-0005-0000-0000-0000F9030000}"/>
    <cellStyle name="Normal 18 3 3" xfId="971" xr:uid="{00000000-0005-0000-0000-0000FA030000}"/>
    <cellStyle name="Normal 18 3 3 2" xfId="972" xr:uid="{00000000-0005-0000-0000-0000FB030000}"/>
    <cellStyle name="Normal 18 3 3 2 2" xfId="973" xr:uid="{00000000-0005-0000-0000-0000FC030000}"/>
    <cellStyle name="Normal 18 3 3 3" xfId="974" xr:uid="{00000000-0005-0000-0000-0000FD030000}"/>
    <cellStyle name="Normal 18 3 4" xfId="975" xr:uid="{00000000-0005-0000-0000-0000FE030000}"/>
    <cellStyle name="Normal 18 3 4 2" xfId="976" xr:uid="{00000000-0005-0000-0000-0000FF030000}"/>
    <cellStyle name="Normal 18 3 5" xfId="977" xr:uid="{00000000-0005-0000-0000-000000040000}"/>
    <cellStyle name="Normal 18 3_Cover Page (r)" xfId="978" xr:uid="{00000000-0005-0000-0000-000001040000}"/>
    <cellStyle name="Normal 18 4" xfId="979" xr:uid="{00000000-0005-0000-0000-000002040000}"/>
    <cellStyle name="Normal 18 4 2" xfId="980" xr:uid="{00000000-0005-0000-0000-000003040000}"/>
    <cellStyle name="Normal 18 4 2 2" xfId="981" xr:uid="{00000000-0005-0000-0000-000004040000}"/>
    <cellStyle name="Normal 18 4 2 2 2" xfId="982" xr:uid="{00000000-0005-0000-0000-000005040000}"/>
    <cellStyle name="Normal 18 4 2 3" xfId="983" xr:uid="{00000000-0005-0000-0000-000006040000}"/>
    <cellStyle name="Normal 18 4 3" xfId="984" xr:uid="{00000000-0005-0000-0000-000007040000}"/>
    <cellStyle name="Normal 18 4 3 2" xfId="985" xr:uid="{00000000-0005-0000-0000-000008040000}"/>
    <cellStyle name="Normal 18 4 4" xfId="986" xr:uid="{00000000-0005-0000-0000-000009040000}"/>
    <cellStyle name="Normal 18 4_Cover Page (r)" xfId="987" xr:uid="{00000000-0005-0000-0000-00000A040000}"/>
    <cellStyle name="Normal 18 5" xfId="988" xr:uid="{00000000-0005-0000-0000-00000B040000}"/>
    <cellStyle name="Normal 18 5 2" xfId="989" xr:uid="{00000000-0005-0000-0000-00000C040000}"/>
    <cellStyle name="Normal 18 5 2 2" xfId="990" xr:uid="{00000000-0005-0000-0000-00000D040000}"/>
    <cellStyle name="Normal 18 5 3" xfId="991" xr:uid="{00000000-0005-0000-0000-00000E040000}"/>
    <cellStyle name="Normal 18 6" xfId="992" xr:uid="{00000000-0005-0000-0000-00000F040000}"/>
    <cellStyle name="Normal 18 6 2" xfId="993" xr:uid="{00000000-0005-0000-0000-000010040000}"/>
    <cellStyle name="Normal 18 7" xfId="994" xr:uid="{00000000-0005-0000-0000-000011040000}"/>
    <cellStyle name="Normal 18_Cover Page (r)" xfId="995" xr:uid="{00000000-0005-0000-0000-000012040000}"/>
    <cellStyle name="Normal 19" xfId="996" xr:uid="{00000000-0005-0000-0000-000013040000}"/>
    <cellStyle name="Normal 19 2" xfId="997" xr:uid="{00000000-0005-0000-0000-000014040000}"/>
    <cellStyle name="Normal 19 2 2" xfId="998" xr:uid="{00000000-0005-0000-0000-000015040000}"/>
    <cellStyle name="Normal 19 2 2 2" xfId="999" xr:uid="{00000000-0005-0000-0000-000016040000}"/>
    <cellStyle name="Normal 19 2 2 2 2" xfId="1000" xr:uid="{00000000-0005-0000-0000-000017040000}"/>
    <cellStyle name="Normal 19 2 2 2 2 2" xfId="1001" xr:uid="{00000000-0005-0000-0000-000018040000}"/>
    <cellStyle name="Normal 19 2 2 2 2 2 2" xfId="1002" xr:uid="{00000000-0005-0000-0000-000019040000}"/>
    <cellStyle name="Normal 19 2 2 2 2 3" xfId="1003" xr:uid="{00000000-0005-0000-0000-00001A040000}"/>
    <cellStyle name="Normal 19 2 2 2 3" xfId="1004" xr:uid="{00000000-0005-0000-0000-00001B040000}"/>
    <cellStyle name="Normal 19 2 2 2 3 2" xfId="1005" xr:uid="{00000000-0005-0000-0000-00001C040000}"/>
    <cellStyle name="Normal 19 2 2 2 4" xfId="1006" xr:uid="{00000000-0005-0000-0000-00001D040000}"/>
    <cellStyle name="Normal 19 2 2 2_Cover Page (r)" xfId="1007" xr:uid="{00000000-0005-0000-0000-00001E040000}"/>
    <cellStyle name="Normal 19 2 2 3" xfId="1008" xr:uid="{00000000-0005-0000-0000-00001F040000}"/>
    <cellStyle name="Normal 19 2 2 3 2" xfId="1009" xr:uid="{00000000-0005-0000-0000-000020040000}"/>
    <cellStyle name="Normal 19 2 2 3 2 2" xfId="1010" xr:uid="{00000000-0005-0000-0000-000021040000}"/>
    <cellStyle name="Normal 19 2 2 3 3" xfId="1011" xr:uid="{00000000-0005-0000-0000-000022040000}"/>
    <cellStyle name="Normal 19 2 2 4" xfId="1012" xr:uid="{00000000-0005-0000-0000-000023040000}"/>
    <cellStyle name="Normal 19 2 2 4 2" xfId="1013" xr:uid="{00000000-0005-0000-0000-000024040000}"/>
    <cellStyle name="Normal 19 2 2 5" xfId="1014" xr:uid="{00000000-0005-0000-0000-000025040000}"/>
    <cellStyle name="Normal 19 2 2_Cover Page (r)" xfId="1015" xr:uid="{00000000-0005-0000-0000-000026040000}"/>
    <cellStyle name="Normal 19 2 3" xfId="1016" xr:uid="{00000000-0005-0000-0000-000027040000}"/>
    <cellStyle name="Normal 19 2 3 2" xfId="1017" xr:uid="{00000000-0005-0000-0000-000028040000}"/>
    <cellStyle name="Normal 19 2 3 2 2" xfId="1018" xr:uid="{00000000-0005-0000-0000-000029040000}"/>
    <cellStyle name="Normal 19 2 3 2 2 2" xfId="1019" xr:uid="{00000000-0005-0000-0000-00002A040000}"/>
    <cellStyle name="Normal 19 2 3 2 3" xfId="1020" xr:uid="{00000000-0005-0000-0000-00002B040000}"/>
    <cellStyle name="Normal 19 2 3 3" xfId="1021" xr:uid="{00000000-0005-0000-0000-00002C040000}"/>
    <cellStyle name="Normal 19 2 3 3 2" xfId="1022" xr:uid="{00000000-0005-0000-0000-00002D040000}"/>
    <cellStyle name="Normal 19 2 3 4" xfId="1023" xr:uid="{00000000-0005-0000-0000-00002E040000}"/>
    <cellStyle name="Normal 19 2 3_Cover Page (r)" xfId="1024" xr:uid="{00000000-0005-0000-0000-00002F040000}"/>
    <cellStyle name="Normal 19 2 4" xfId="1025" xr:uid="{00000000-0005-0000-0000-000030040000}"/>
    <cellStyle name="Normal 19 2 4 2" xfId="1026" xr:uid="{00000000-0005-0000-0000-000031040000}"/>
    <cellStyle name="Normal 19 2 4 2 2" xfId="1027" xr:uid="{00000000-0005-0000-0000-000032040000}"/>
    <cellStyle name="Normal 19 2 4 3" xfId="1028" xr:uid="{00000000-0005-0000-0000-000033040000}"/>
    <cellStyle name="Normal 19 2 5" xfId="1029" xr:uid="{00000000-0005-0000-0000-000034040000}"/>
    <cellStyle name="Normal 19 2 5 2" xfId="1030" xr:uid="{00000000-0005-0000-0000-000035040000}"/>
    <cellStyle name="Normal 19 2 6" xfId="1031" xr:uid="{00000000-0005-0000-0000-000036040000}"/>
    <cellStyle name="Normal 19 2_Cover Page (r)" xfId="1032" xr:uid="{00000000-0005-0000-0000-000037040000}"/>
    <cellStyle name="Normal 19 3" xfId="1033" xr:uid="{00000000-0005-0000-0000-000038040000}"/>
    <cellStyle name="Normal 19 3 2" xfId="1034" xr:uid="{00000000-0005-0000-0000-000039040000}"/>
    <cellStyle name="Normal 19 3 2 2" xfId="1035" xr:uid="{00000000-0005-0000-0000-00003A040000}"/>
    <cellStyle name="Normal 19 3 2 2 2" xfId="1036" xr:uid="{00000000-0005-0000-0000-00003B040000}"/>
    <cellStyle name="Normal 19 3 2 2 2 2" xfId="1037" xr:uid="{00000000-0005-0000-0000-00003C040000}"/>
    <cellStyle name="Normal 19 3 2 2 3" xfId="1038" xr:uid="{00000000-0005-0000-0000-00003D040000}"/>
    <cellStyle name="Normal 19 3 2 3" xfId="1039" xr:uid="{00000000-0005-0000-0000-00003E040000}"/>
    <cellStyle name="Normal 19 3 2 3 2" xfId="1040" xr:uid="{00000000-0005-0000-0000-00003F040000}"/>
    <cellStyle name="Normal 19 3 2 4" xfId="1041" xr:uid="{00000000-0005-0000-0000-000040040000}"/>
    <cellStyle name="Normal 19 3 2_Cover Page (r)" xfId="1042" xr:uid="{00000000-0005-0000-0000-000041040000}"/>
    <cellStyle name="Normal 19 3 3" xfId="1043" xr:uid="{00000000-0005-0000-0000-000042040000}"/>
    <cellStyle name="Normal 19 3 3 2" xfId="1044" xr:uid="{00000000-0005-0000-0000-000043040000}"/>
    <cellStyle name="Normal 19 3 3 2 2" xfId="1045" xr:uid="{00000000-0005-0000-0000-000044040000}"/>
    <cellStyle name="Normal 19 3 3 3" xfId="1046" xr:uid="{00000000-0005-0000-0000-000045040000}"/>
    <cellStyle name="Normal 19 3 4" xfId="1047" xr:uid="{00000000-0005-0000-0000-000046040000}"/>
    <cellStyle name="Normal 19 3 4 2" xfId="1048" xr:uid="{00000000-0005-0000-0000-000047040000}"/>
    <cellStyle name="Normal 19 3 5" xfId="1049" xr:uid="{00000000-0005-0000-0000-000048040000}"/>
    <cellStyle name="Normal 19 3_Cover Page (r)" xfId="1050" xr:uid="{00000000-0005-0000-0000-000049040000}"/>
    <cellStyle name="Normal 19 4" xfId="1051" xr:uid="{00000000-0005-0000-0000-00004A040000}"/>
    <cellStyle name="Normal 19 4 2" xfId="1052" xr:uid="{00000000-0005-0000-0000-00004B040000}"/>
    <cellStyle name="Normal 19 4 2 2" xfId="1053" xr:uid="{00000000-0005-0000-0000-00004C040000}"/>
    <cellStyle name="Normal 19 4 2 2 2" xfId="1054" xr:uid="{00000000-0005-0000-0000-00004D040000}"/>
    <cellStyle name="Normal 19 4 2 3" xfId="1055" xr:uid="{00000000-0005-0000-0000-00004E040000}"/>
    <cellStyle name="Normal 19 4 3" xfId="1056" xr:uid="{00000000-0005-0000-0000-00004F040000}"/>
    <cellStyle name="Normal 19 4 3 2" xfId="1057" xr:uid="{00000000-0005-0000-0000-000050040000}"/>
    <cellStyle name="Normal 19 4 4" xfId="1058" xr:uid="{00000000-0005-0000-0000-000051040000}"/>
    <cellStyle name="Normal 19 4_Cover Page (r)" xfId="1059" xr:uid="{00000000-0005-0000-0000-000052040000}"/>
    <cellStyle name="Normal 19 5" xfId="1060" xr:uid="{00000000-0005-0000-0000-000053040000}"/>
    <cellStyle name="Normal 19 5 2" xfId="1061" xr:uid="{00000000-0005-0000-0000-000054040000}"/>
    <cellStyle name="Normal 19 5 2 2" xfId="1062" xr:uid="{00000000-0005-0000-0000-000055040000}"/>
    <cellStyle name="Normal 19 5 3" xfId="1063" xr:uid="{00000000-0005-0000-0000-000056040000}"/>
    <cellStyle name="Normal 19 6" xfId="1064" xr:uid="{00000000-0005-0000-0000-000057040000}"/>
    <cellStyle name="Normal 19 6 2" xfId="1065" xr:uid="{00000000-0005-0000-0000-000058040000}"/>
    <cellStyle name="Normal 19 7" xfId="1066" xr:uid="{00000000-0005-0000-0000-000059040000}"/>
    <cellStyle name="Normal 19_Cover Page (r)" xfId="1067" xr:uid="{00000000-0005-0000-0000-00005A040000}"/>
    <cellStyle name="Normal 2" xfId="1068" xr:uid="{00000000-0005-0000-0000-00005B040000}"/>
    <cellStyle name="Normal 2 10" xfId="1069" xr:uid="{00000000-0005-0000-0000-00005C040000}"/>
    <cellStyle name="Normal 2 10 2" xfId="1070" xr:uid="{00000000-0005-0000-0000-00005D040000}"/>
    <cellStyle name="Normal 2 10 2 2" xfId="1071" xr:uid="{00000000-0005-0000-0000-00005E040000}"/>
    <cellStyle name="Normal 2 10 3" xfId="1072" xr:uid="{00000000-0005-0000-0000-00005F040000}"/>
    <cellStyle name="Normal 2 11" xfId="1073" xr:uid="{00000000-0005-0000-0000-000060040000}"/>
    <cellStyle name="Normal 2 11 2" xfId="1074" xr:uid="{00000000-0005-0000-0000-000061040000}"/>
    <cellStyle name="Normal 2 12" xfId="1075" xr:uid="{00000000-0005-0000-0000-000062040000}"/>
    <cellStyle name="Normal 2 2" xfId="1076" xr:uid="{00000000-0005-0000-0000-000063040000}"/>
    <cellStyle name="Normal 2 3" xfId="1077" xr:uid="{00000000-0005-0000-0000-000064040000}"/>
    <cellStyle name="Normal 2 4" xfId="1078" xr:uid="{00000000-0005-0000-0000-000065040000}"/>
    <cellStyle name="Normal 2 5" xfId="1079" xr:uid="{00000000-0005-0000-0000-000066040000}"/>
    <cellStyle name="Normal 2 6" xfId="1080" xr:uid="{00000000-0005-0000-0000-000067040000}"/>
    <cellStyle name="Normal 2 7" xfId="1081" xr:uid="{00000000-0005-0000-0000-000068040000}"/>
    <cellStyle name="Normal 2 7 2" xfId="1082" xr:uid="{00000000-0005-0000-0000-000069040000}"/>
    <cellStyle name="Normal 2 7 2 2" xfId="1083" xr:uid="{00000000-0005-0000-0000-00006A040000}"/>
    <cellStyle name="Normal 2 7 2 2 2" xfId="1084" xr:uid="{00000000-0005-0000-0000-00006B040000}"/>
    <cellStyle name="Normal 2 7 2 2 2 2" xfId="1085" xr:uid="{00000000-0005-0000-0000-00006C040000}"/>
    <cellStyle name="Normal 2 7 2 2 2 2 2" xfId="1086" xr:uid="{00000000-0005-0000-0000-00006D040000}"/>
    <cellStyle name="Normal 2 7 2 2 2 3" xfId="1087" xr:uid="{00000000-0005-0000-0000-00006E040000}"/>
    <cellStyle name="Normal 2 7 2 2 3" xfId="1088" xr:uid="{00000000-0005-0000-0000-00006F040000}"/>
    <cellStyle name="Normal 2 7 2 2 3 2" xfId="1089" xr:uid="{00000000-0005-0000-0000-000070040000}"/>
    <cellStyle name="Normal 2 7 2 2 4" xfId="1090" xr:uid="{00000000-0005-0000-0000-000071040000}"/>
    <cellStyle name="Normal 2 7 2 2_Cover Page (r)" xfId="1091" xr:uid="{00000000-0005-0000-0000-000072040000}"/>
    <cellStyle name="Normal 2 7 2 3" xfId="1092" xr:uid="{00000000-0005-0000-0000-000073040000}"/>
    <cellStyle name="Normal 2 7 2 3 2" xfId="1093" xr:uid="{00000000-0005-0000-0000-000074040000}"/>
    <cellStyle name="Normal 2 7 2 3 2 2" xfId="1094" xr:uid="{00000000-0005-0000-0000-000075040000}"/>
    <cellStyle name="Normal 2 7 2 3 3" xfId="1095" xr:uid="{00000000-0005-0000-0000-000076040000}"/>
    <cellStyle name="Normal 2 7 2 4" xfId="1096" xr:uid="{00000000-0005-0000-0000-000077040000}"/>
    <cellStyle name="Normal 2 7 2 4 2" xfId="1097" xr:uid="{00000000-0005-0000-0000-000078040000}"/>
    <cellStyle name="Normal 2 7 2 5" xfId="1098" xr:uid="{00000000-0005-0000-0000-000079040000}"/>
    <cellStyle name="Normal 2 7 2_Cover Page (r)" xfId="1099" xr:uid="{00000000-0005-0000-0000-00007A040000}"/>
    <cellStyle name="Normal 2 7 3" xfId="1100" xr:uid="{00000000-0005-0000-0000-00007B040000}"/>
    <cellStyle name="Normal 2 7 3 2" xfId="1101" xr:uid="{00000000-0005-0000-0000-00007C040000}"/>
    <cellStyle name="Normal 2 7 3 2 2" xfId="1102" xr:uid="{00000000-0005-0000-0000-00007D040000}"/>
    <cellStyle name="Normal 2 7 3 2 2 2" xfId="1103" xr:uid="{00000000-0005-0000-0000-00007E040000}"/>
    <cellStyle name="Normal 2 7 3 2 3" xfId="1104" xr:uid="{00000000-0005-0000-0000-00007F040000}"/>
    <cellStyle name="Normal 2 7 3 3" xfId="1105" xr:uid="{00000000-0005-0000-0000-000080040000}"/>
    <cellStyle name="Normal 2 7 3 3 2" xfId="1106" xr:uid="{00000000-0005-0000-0000-000081040000}"/>
    <cellStyle name="Normal 2 7 3 4" xfId="1107" xr:uid="{00000000-0005-0000-0000-000082040000}"/>
    <cellStyle name="Normal 2 7 3_Cover Page (r)" xfId="1108" xr:uid="{00000000-0005-0000-0000-000083040000}"/>
    <cellStyle name="Normal 2 7 4" xfId="1109" xr:uid="{00000000-0005-0000-0000-000084040000}"/>
    <cellStyle name="Normal 2 7 4 2" xfId="1110" xr:uid="{00000000-0005-0000-0000-000085040000}"/>
    <cellStyle name="Normal 2 7 4 2 2" xfId="1111" xr:uid="{00000000-0005-0000-0000-000086040000}"/>
    <cellStyle name="Normal 2 7 4 3" xfId="1112" xr:uid="{00000000-0005-0000-0000-000087040000}"/>
    <cellStyle name="Normal 2 7 5" xfId="1113" xr:uid="{00000000-0005-0000-0000-000088040000}"/>
    <cellStyle name="Normal 2 7 5 2" xfId="1114" xr:uid="{00000000-0005-0000-0000-000089040000}"/>
    <cellStyle name="Normal 2 7 6" xfId="1115" xr:uid="{00000000-0005-0000-0000-00008A040000}"/>
    <cellStyle name="Normal 2 7_Cover Page (r)" xfId="1116" xr:uid="{00000000-0005-0000-0000-00008B040000}"/>
    <cellStyle name="Normal 2 8" xfId="1117" xr:uid="{00000000-0005-0000-0000-00008C040000}"/>
    <cellStyle name="Normal 2 8 2" xfId="1118" xr:uid="{00000000-0005-0000-0000-00008D040000}"/>
    <cellStyle name="Normal 2 8 2 2" xfId="1119" xr:uid="{00000000-0005-0000-0000-00008E040000}"/>
    <cellStyle name="Normal 2 8 2 2 2" xfId="1120" xr:uid="{00000000-0005-0000-0000-00008F040000}"/>
    <cellStyle name="Normal 2 8 2 2 2 2" xfId="1121" xr:uid="{00000000-0005-0000-0000-000090040000}"/>
    <cellStyle name="Normal 2 8 2 2 3" xfId="1122" xr:uid="{00000000-0005-0000-0000-000091040000}"/>
    <cellStyle name="Normal 2 8 2 3" xfId="1123" xr:uid="{00000000-0005-0000-0000-000092040000}"/>
    <cellStyle name="Normal 2 8 2 3 2" xfId="1124" xr:uid="{00000000-0005-0000-0000-000093040000}"/>
    <cellStyle name="Normal 2 8 2 4" xfId="1125" xr:uid="{00000000-0005-0000-0000-000094040000}"/>
    <cellStyle name="Normal 2 8 2_Cover Page (r)" xfId="1126" xr:uid="{00000000-0005-0000-0000-000095040000}"/>
    <cellStyle name="Normal 2 8 3" xfId="1127" xr:uid="{00000000-0005-0000-0000-000096040000}"/>
    <cellStyle name="Normal 2 8 3 2" xfId="1128" xr:uid="{00000000-0005-0000-0000-000097040000}"/>
    <cellStyle name="Normal 2 8 3 2 2" xfId="1129" xr:uid="{00000000-0005-0000-0000-000098040000}"/>
    <cellStyle name="Normal 2 8 3 3" xfId="1130" xr:uid="{00000000-0005-0000-0000-000099040000}"/>
    <cellStyle name="Normal 2 8 4" xfId="1131" xr:uid="{00000000-0005-0000-0000-00009A040000}"/>
    <cellStyle name="Normal 2 8 4 2" xfId="1132" xr:uid="{00000000-0005-0000-0000-00009B040000}"/>
    <cellStyle name="Normal 2 8 5" xfId="1133" xr:uid="{00000000-0005-0000-0000-00009C040000}"/>
    <cellStyle name="Normal 2 8_Cover Page (r)" xfId="1134" xr:uid="{00000000-0005-0000-0000-00009D040000}"/>
    <cellStyle name="Normal 2 9" xfId="1135" xr:uid="{00000000-0005-0000-0000-00009E040000}"/>
    <cellStyle name="Normal 2 9 2" xfId="1136" xr:uid="{00000000-0005-0000-0000-00009F040000}"/>
    <cellStyle name="Normal 2 9 2 2" xfId="1137" xr:uid="{00000000-0005-0000-0000-0000A0040000}"/>
    <cellStyle name="Normal 2 9 2 2 2" xfId="1138" xr:uid="{00000000-0005-0000-0000-0000A1040000}"/>
    <cellStyle name="Normal 2 9 2 3" xfId="1139" xr:uid="{00000000-0005-0000-0000-0000A2040000}"/>
    <cellStyle name="Normal 2 9 3" xfId="1140" xr:uid="{00000000-0005-0000-0000-0000A3040000}"/>
    <cellStyle name="Normal 2 9 3 2" xfId="1141" xr:uid="{00000000-0005-0000-0000-0000A4040000}"/>
    <cellStyle name="Normal 2 9 4" xfId="1142" xr:uid="{00000000-0005-0000-0000-0000A5040000}"/>
    <cellStyle name="Normal 2 9_Cover Page (r)" xfId="1143" xr:uid="{00000000-0005-0000-0000-0000A6040000}"/>
    <cellStyle name="Normal 2_Cover Page (r)" xfId="1144" xr:uid="{00000000-0005-0000-0000-0000A7040000}"/>
    <cellStyle name="Normal 20" xfId="1145" xr:uid="{00000000-0005-0000-0000-0000A8040000}"/>
    <cellStyle name="Normal 20 2" xfId="1146" xr:uid="{00000000-0005-0000-0000-0000A9040000}"/>
    <cellStyle name="Normal 20 2 2" xfId="1147" xr:uid="{00000000-0005-0000-0000-0000AA040000}"/>
    <cellStyle name="Normal 20 2 2 2" xfId="1148" xr:uid="{00000000-0005-0000-0000-0000AB040000}"/>
    <cellStyle name="Normal 20 2 2 2 2" xfId="1149" xr:uid="{00000000-0005-0000-0000-0000AC040000}"/>
    <cellStyle name="Normal 20 2 2 2 2 2" xfId="1150" xr:uid="{00000000-0005-0000-0000-0000AD040000}"/>
    <cellStyle name="Normal 20 2 2 2 2 2 2" xfId="1151" xr:uid="{00000000-0005-0000-0000-0000AE040000}"/>
    <cellStyle name="Normal 20 2 2 2 2 3" xfId="1152" xr:uid="{00000000-0005-0000-0000-0000AF040000}"/>
    <cellStyle name="Normal 20 2 2 2 3" xfId="1153" xr:uid="{00000000-0005-0000-0000-0000B0040000}"/>
    <cellStyle name="Normal 20 2 2 2 3 2" xfId="1154" xr:uid="{00000000-0005-0000-0000-0000B1040000}"/>
    <cellStyle name="Normal 20 2 2 2 4" xfId="1155" xr:uid="{00000000-0005-0000-0000-0000B2040000}"/>
    <cellStyle name="Normal 20 2 2 2_Cover Page (r)" xfId="1156" xr:uid="{00000000-0005-0000-0000-0000B3040000}"/>
    <cellStyle name="Normal 20 2 2 3" xfId="1157" xr:uid="{00000000-0005-0000-0000-0000B4040000}"/>
    <cellStyle name="Normal 20 2 2 3 2" xfId="1158" xr:uid="{00000000-0005-0000-0000-0000B5040000}"/>
    <cellStyle name="Normal 20 2 2 3 2 2" xfId="1159" xr:uid="{00000000-0005-0000-0000-0000B6040000}"/>
    <cellStyle name="Normal 20 2 2 3 3" xfId="1160" xr:uid="{00000000-0005-0000-0000-0000B7040000}"/>
    <cellStyle name="Normal 20 2 2 4" xfId="1161" xr:uid="{00000000-0005-0000-0000-0000B8040000}"/>
    <cellStyle name="Normal 20 2 2 4 2" xfId="1162" xr:uid="{00000000-0005-0000-0000-0000B9040000}"/>
    <cellStyle name="Normal 20 2 2 5" xfId="1163" xr:uid="{00000000-0005-0000-0000-0000BA040000}"/>
    <cellStyle name="Normal 20 2 2_Cover Page (r)" xfId="1164" xr:uid="{00000000-0005-0000-0000-0000BB040000}"/>
    <cellStyle name="Normal 20 2 3" xfId="1165" xr:uid="{00000000-0005-0000-0000-0000BC040000}"/>
    <cellStyle name="Normal 20 2 3 2" xfId="1166" xr:uid="{00000000-0005-0000-0000-0000BD040000}"/>
    <cellStyle name="Normal 20 2 3 2 2" xfId="1167" xr:uid="{00000000-0005-0000-0000-0000BE040000}"/>
    <cellStyle name="Normal 20 2 3 2 2 2" xfId="1168" xr:uid="{00000000-0005-0000-0000-0000BF040000}"/>
    <cellStyle name="Normal 20 2 3 2 3" xfId="1169" xr:uid="{00000000-0005-0000-0000-0000C0040000}"/>
    <cellStyle name="Normal 20 2 3 3" xfId="1170" xr:uid="{00000000-0005-0000-0000-0000C1040000}"/>
    <cellStyle name="Normal 20 2 3 3 2" xfId="1171" xr:uid="{00000000-0005-0000-0000-0000C2040000}"/>
    <cellStyle name="Normal 20 2 3 4" xfId="1172" xr:uid="{00000000-0005-0000-0000-0000C3040000}"/>
    <cellStyle name="Normal 20 2 3_Cover Page (r)" xfId="1173" xr:uid="{00000000-0005-0000-0000-0000C4040000}"/>
    <cellStyle name="Normal 20 2 4" xfId="1174" xr:uid="{00000000-0005-0000-0000-0000C5040000}"/>
    <cellStyle name="Normal 20 2 4 2" xfId="1175" xr:uid="{00000000-0005-0000-0000-0000C6040000}"/>
    <cellStyle name="Normal 20 2 4 2 2" xfId="1176" xr:uid="{00000000-0005-0000-0000-0000C7040000}"/>
    <cellStyle name="Normal 20 2 4 3" xfId="1177" xr:uid="{00000000-0005-0000-0000-0000C8040000}"/>
    <cellStyle name="Normal 20 2 5" xfId="1178" xr:uid="{00000000-0005-0000-0000-0000C9040000}"/>
    <cellStyle name="Normal 20 2 5 2" xfId="1179" xr:uid="{00000000-0005-0000-0000-0000CA040000}"/>
    <cellStyle name="Normal 20 2 6" xfId="1180" xr:uid="{00000000-0005-0000-0000-0000CB040000}"/>
    <cellStyle name="Normal 20 2_Cover Page (r)" xfId="1181" xr:uid="{00000000-0005-0000-0000-0000CC040000}"/>
    <cellStyle name="Normal 20 3" xfId="1182" xr:uid="{00000000-0005-0000-0000-0000CD040000}"/>
    <cellStyle name="Normal 20 3 2" xfId="1183" xr:uid="{00000000-0005-0000-0000-0000CE040000}"/>
    <cellStyle name="Normal 20 3 2 2" xfId="1184" xr:uid="{00000000-0005-0000-0000-0000CF040000}"/>
    <cellStyle name="Normal 20 3 2 2 2" xfId="1185" xr:uid="{00000000-0005-0000-0000-0000D0040000}"/>
    <cellStyle name="Normal 20 3 2 2 2 2" xfId="1186" xr:uid="{00000000-0005-0000-0000-0000D1040000}"/>
    <cellStyle name="Normal 20 3 2 2 3" xfId="1187" xr:uid="{00000000-0005-0000-0000-0000D2040000}"/>
    <cellStyle name="Normal 20 3 2 3" xfId="1188" xr:uid="{00000000-0005-0000-0000-0000D3040000}"/>
    <cellStyle name="Normal 20 3 2 3 2" xfId="1189" xr:uid="{00000000-0005-0000-0000-0000D4040000}"/>
    <cellStyle name="Normal 20 3 2 4" xfId="1190" xr:uid="{00000000-0005-0000-0000-0000D5040000}"/>
    <cellStyle name="Normal 20 3 2_Cover Page (r)" xfId="1191" xr:uid="{00000000-0005-0000-0000-0000D6040000}"/>
    <cellStyle name="Normal 20 3 3" xfId="1192" xr:uid="{00000000-0005-0000-0000-0000D7040000}"/>
    <cellStyle name="Normal 20 3 3 2" xfId="1193" xr:uid="{00000000-0005-0000-0000-0000D8040000}"/>
    <cellStyle name="Normal 20 3 3 2 2" xfId="1194" xr:uid="{00000000-0005-0000-0000-0000D9040000}"/>
    <cellStyle name="Normal 20 3 3 3" xfId="1195" xr:uid="{00000000-0005-0000-0000-0000DA040000}"/>
    <cellStyle name="Normal 20 3 4" xfId="1196" xr:uid="{00000000-0005-0000-0000-0000DB040000}"/>
    <cellStyle name="Normal 20 3 4 2" xfId="1197" xr:uid="{00000000-0005-0000-0000-0000DC040000}"/>
    <cellStyle name="Normal 20 3 5" xfId="1198" xr:uid="{00000000-0005-0000-0000-0000DD040000}"/>
    <cellStyle name="Normal 20 3_Cover Page (r)" xfId="1199" xr:uid="{00000000-0005-0000-0000-0000DE040000}"/>
    <cellStyle name="Normal 20 4" xfId="1200" xr:uid="{00000000-0005-0000-0000-0000DF040000}"/>
    <cellStyle name="Normal 20 4 2" xfId="1201" xr:uid="{00000000-0005-0000-0000-0000E0040000}"/>
    <cellStyle name="Normal 20 4 2 2" xfId="1202" xr:uid="{00000000-0005-0000-0000-0000E1040000}"/>
    <cellStyle name="Normal 20 4 2 2 2" xfId="1203" xr:uid="{00000000-0005-0000-0000-0000E2040000}"/>
    <cellStyle name="Normal 20 4 2 3" xfId="1204" xr:uid="{00000000-0005-0000-0000-0000E3040000}"/>
    <cellStyle name="Normal 20 4 3" xfId="1205" xr:uid="{00000000-0005-0000-0000-0000E4040000}"/>
    <cellStyle name="Normal 20 4 3 2" xfId="1206" xr:uid="{00000000-0005-0000-0000-0000E5040000}"/>
    <cellStyle name="Normal 20 4 4" xfId="1207" xr:uid="{00000000-0005-0000-0000-0000E6040000}"/>
    <cellStyle name="Normal 20 4_Cover Page (r)" xfId="1208" xr:uid="{00000000-0005-0000-0000-0000E7040000}"/>
    <cellStyle name="Normal 20 5" xfId="1209" xr:uid="{00000000-0005-0000-0000-0000E8040000}"/>
    <cellStyle name="Normal 20 5 2" xfId="1210" xr:uid="{00000000-0005-0000-0000-0000E9040000}"/>
    <cellStyle name="Normal 20 5 2 2" xfId="1211" xr:uid="{00000000-0005-0000-0000-0000EA040000}"/>
    <cellStyle name="Normal 20 5 3" xfId="1212" xr:uid="{00000000-0005-0000-0000-0000EB040000}"/>
    <cellStyle name="Normal 20 6" xfId="1213" xr:uid="{00000000-0005-0000-0000-0000EC040000}"/>
    <cellStyle name="Normal 20 6 2" xfId="1214" xr:uid="{00000000-0005-0000-0000-0000ED040000}"/>
    <cellStyle name="Normal 20 7" xfId="1215" xr:uid="{00000000-0005-0000-0000-0000EE040000}"/>
    <cellStyle name="Normal 20_Cover Page (r)" xfId="1216" xr:uid="{00000000-0005-0000-0000-0000EF040000}"/>
    <cellStyle name="Normal 21" xfId="1217" xr:uid="{00000000-0005-0000-0000-0000F0040000}"/>
    <cellStyle name="Normal 21 2" xfId="1218" xr:uid="{00000000-0005-0000-0000-0000F1040000}"/>
    <cellStyle name="Normal 21 2 2" xfId="1219" xr:uid="{00000000-0005-0000-0000-0000F2040000}"/>
    <cellStyle name="Normal 21 2 2 2" xfId="1220" xr:uid="{00000000-0005-0000-0000-0000F3040000}"/>
    <cellStyle name="Normal 21 2 2 2 2" xfId="1221" xr:uid="{00000000-0005-0000-0000-0000F4040000}"/>
    <cellStyle name="Normal 21 2 2 2 2 2" xfId="1222" xr:uid="{00000000-0005-0000-0000-0000F5040000}"/>
    <cellStyle name="Normal 21 2 2 2 2 2 2" xfId="1223" xr:uid="{00000000-0005-0000-0000-0000F6040000}"/>
    <cellStyle name="Normal 21 2 2 2 2 3" xfId="1224" xr:uid="{00000000-0005-0000-0000-0000F7040000}"/>
    <cellStyle name="Normal 21 2 2 2 3" xfId="1225" xr:uid="{00000000-0005-0000-0000-0000F8040000}"/>
    <cellStyle name="Normal 21 2 2 2 3 2" xfId="1226" xr:uid="{00000000-0005-0000-0000-0000F9040000}"/>
    <cellStyle name="Normal 21 2 2 2 4" xfId="1227" xr:uid="{00000000-0005-0000-0000-0000FA040000}"/>
    <cellStyle name="Normal 21 2 2 2_Cover Page (r)" xfId="1228" xr:uid="{00000000-0005-0000-0000-0000FB040000}"/>
    <cellStyle name="Normal 21 2 2 3" xfId="1229" xr:uid="{00000000-0005-0000-0000-0000FC040000}"/>
    <cellStyle name="Normal 21 2 2 3 2" xfId="1230" xr:uid="{00000000-0005-0000-0000-0000FD040000}"/>
    <cellStyle name="Normal 21 2 2 3 2 2" xfId="1231" xr:uid="{00000000-0005-0000-0000-0000FE040000}"/>
    <cellStyle name="Normal 21 2 2 3 3" xfId="1232" xr:uid="{00000000-0005-0000-0000-0000FF040000}"/>
    <cellStyle name="Normal 21 2 2 4" xfId="1233" xr:uid="{00000000-0005-0000-0000-000000050000}"/>
    <cellStyle name="Normal 21 2 2 4 2" xfId="1234" xr:uid="{00000000-0005-0000-0000-000001050000}"/>
    <cellStyle name="Normal 21 2 2 5" xfId="1235" xr:uid="{00000000-0005-0000-0000-000002050000}"/>
    <cellStyle name="Normal 21 2 2_Cover Page (r)" xfId="1236" xr:uid="{00000000-0005-0000-0000-000003050000}"/>
    <cellStyle name="Normal 21 2 3" xfId="1237" xr:uid="{00000000-0005-0000-0000-000004050000}"/>
    <cellStyle name="Normal 21 2 3 2" xfId="1238" xr:uid="{00000000-0005-0000-0000-000005050000}"/>
    <cellStyle name="Normal 21 2 3 2 2" xfId="1239" xr:uid="{00000000-0005-0000-0000-000006050000}"/>
    <cellStyle name="Normal 21 2 3 2 2 2" xfId="1240" xr:uid="{00000000-0005-0000-0000-000007050000}"/>
    <cellStyle name="Normal 21 2 3 2 3" xfId="1241" xr:uid="{00000000-0005-0000-0000-000008050000}"/>
    <cellStyle name="Normal 21 2 3 3" xfId="1242" xr:uid="{00000000-0005-0000-0000-000009050000}"/>
    <cellStyle name="Normal 21 2 3 3 2" xfId="1243" xr:uid="{00000000-0005-0000-0000-00000A050000}"/>
    <cellStyle name="Normal 21 2 3 4" xfId="1244" xr:uid="{00000000-0005-0000-0000-00000B050000}"/>
    <cellStyle name="Normal 21 2 3_Cover Page (r)" xfId="1245" xr:uid="{00000000-0005-0000-0000-00000C050000}"/>
    <cellStyle name="Normal 21 2 4" xfId="1246" xr:uid="{00000000-0005-0000-0000-00000D050000}"/>
    <cellStyle name="Normal 21 2 4 2" xfId="1247" xr:uid="{00000000-0005-0000-0000-00000E050000}"/>
    <cellStyle name="Normal 21 2 4 2 2" xfId="1248" xr:uid="{00000000-0005-0000-0000-00000F050000}"/>
    <cellStyle name="Normal 21 2 4 3" xfId="1249" xr:uid="{00000000-0005-0000-0000-000010050000}"/>
    <cellStyle name="Normal 21 2 5" xfId="1250" xr:uid="{00000000-0005-0000-0000-000011050000}"/>
    <cellStyle name="Normal 21 2 5 2" xfId="1251" xr:uid="{00000000-0005-0000-0000-000012050000}"/>
    <cellStyle name="Normal 21 2 6" xfId="1252" xr:uid="{00000000-0005-0000-0000-000013050000}"/>
    <cellStyle name="Normal 21 2_Cover Page (r)" xfId="1253" xr:uid="{00000000-0005-0000-0000-000014050000}"/>
    <cellStyle name="Normal 21 3" xfId="1254" xr:uid="{00000000-0005-0000-0000-000015050000}"/>
    <cellStyle name="Normal 21 3 2" xfId="1255" xr:uid="{00000000-0005-0000-0000-000016050000}"/>
    <cellStyle name="Normal 21 3 2 2" xfId="1256" xr:uid="{00000000-0005-0000-0000-000017050000}"/>
    <cellStyle name="Normal 21 3 2 2 2" xfId="1257" xr:uid="{00000000-0005-0000-0000-000018050000}"/>
    <cellStyle name="Normal 21 3 2 2 2 2" xfId="1258" xr:uid="{00000000-0005-0000-0000-000019050000}"/>
    <cellStyle name="Normal 21 3 2 2 3" xfId="1259" xr:uid="{00000000-0005-0000-0000-00001A050000}"/>
    <cellStyle name="Normal 21 3 2 3" xfId="1260" xr:uid="{00000000-0005-0000-0000-00001B050000}"/>
    <cellStyle name="Normal 21 3 2 3 2" xfId="1261" xr:uid="{00000000-0005-0000-0000-00001C050000}"/>
    <cellStyle name="Normal 21 3 2 4" xfId="1262" xr:uid="{00000000-0005-0000-0000-00001D050000}"/>
    <cellStyle name="Normal 21 3 2_Cover Page (r)" xfId="1263" xr:uid="{00000000-0005-0000-0000-00001E050000}"/>
    <cellStyle name="Normal 21 3 3" xfId="1264" xr:uid="{00000000-0005-0000-0000-00001F050000}"/>
    <cellStyle name="Normal 21 3 3 2" xfId="1265" xr:uid="{00000000-0005-0000-0000-000020050000}"/>
    <cellStyle name="Normal 21 3 3 2 2" xfId="1266" xr:uid="{00000000-0005-0000-0000-000021050000}"/>
    <cellStyle name="Normal 21 3 3 3" xfId="1267" xr:uid="{00000000-0005-0000-0000-000022050000}"/>
    <cellStyle name="Normal 21 3 4" xfId="1268" xr:uid="{00000000-0005-0000-0000-000023050000}"/>
    <cellStyle name="Normal 21 3 4 2" xfId="1269" xr:uid="{00000000-0005-0000-0000-000024050000}"/>
    <cellStyle name="Normal 21 3 5" xfId="1270" xr:uid="{00000000-0005-0000-0000-000025050000}"/>
    <cellStyle name="Normal 21 3_Cover Page (r)" xfId="1271" xr:uid="{00000000-0005-0000-0000-000026050000}"/>
    <cellStyle name="Normal 21 4" xfId="1272" xr:uid="{00000000-0005-0000-0000-000027050000}"/>
    <cellStyle name="Normal 21 4 2" xfId="1273" xr:uid="{00000000-0005-0000-0000-000028050000}"/>
    <cellStyle name="Normal 21 4 2 2" xfId="1274" xr:uid="{00000000-0005-0000-0000-000029050000}"/>
    <cellStyle name="Normal 21 4 2 2 2" xfId="1275" xr:uid="{00000000-0005-0000-0000-00002A050000}"/>
    <cellStyle name="Normal 21 4 2 3" xfId="1276" xr:uid="{00000000-0005-0000-0000-00002B050000}"/>
    <cellStyle name="Normal 21 4 3" xfId="1277" xr:uid="{00000000-0005-0000-0000-00002C050000}"/>
    <cellStyle name="Normal 21 4 3 2" xfId="1278" xr:uid="{00000000-0005-0000-0000-00002D050000}"/>
    <cellStyle name="Normal 21 4 4" xfId="1279" xr:uid="{00000000-0005-0000-0000-00002E050000}"/>
    <cellStyle name="Normal 21 4_Cover Page (r)" xfId="1280" xr:uid="{00000000-0005-0000-0000-00002F050000}"/>
    <cellStyle name="Normal 21 5" xfId="1281" xr:uid="{00000000-0005-0000-0000-000030050000}"/>
    <cellStyle name="Normal 21 5 2" xfId="1282" xr:uid="{00000000-0005-0000-0000-000031050000}"/>
    <cellStyle name="Normal 21 5 2 2" xfId="1283" xr:uid="{00000000-0005-0000-0000-000032050000}"/>
    <cellStyle name="Normal 21 5 3" xfId="1284" xr:uid="{00000000-0005-0000-0000-000033050000}"/>
    <cellStyle name="Normal 21 6" xfId="1285" xr:uid="{00000000-0005-0000-0000-000034050000}"/>
    <cellStyle name="Normal 21 6 2" xfId="1286" xr:uid="{00000000-0005-0000-0000-000035050000}"/>
    <cellStyle name="Normal 21 7" xfId="1287" xr:uid="{00000000-0005-0000-0000-000036050000}"/>
    <cellStyle name="Normal 21_Cover Page (r)" xfId="1288" xr:uid="{00000000-0005-0000-0000-000037050000}"/>
    <cellStyle name="Normal 22" xfId="1289" xr:uid="{00000000-0005-0000-0000-000038050000}"/>
    <cellStyle name="Normal 22 2" xfId="1290" xr:uid="{00000000-0005-0000-0000-000039050000}"/>
    <cellStyle name="Normal 22 2 2" xfId="1291" xr:uid="{00000000-0005-0000-0000-00003A050000}"/>
    <cellStyle name="Normal 22 2 2 2" xfId="1292" xr:uid="{00000000-0005-0000-0000-00003B050000}"/>
    <cellStyle name="Normal 22 2 2 2 2" xfId="1293" xr:uid="{00000000-0005-0000-0000-00003C050000}"/>
    <cellStyle name="Normal 22 2 2 2 2 2" xfId="1294" xr:uid="{00000000-0005-0000-0000-00003D050000}"/>
    <cellStyle name="Normal 22 2 2 2 2 2 2" xfId="1295" xr:uid="{00000000-0005-0000-0000-00003E050000}"/>
    <cellStyle name="Normal 22 2 2 2 2 3" xfId="1296" xr:uid="{00000000-0005-0000-0000-00003F050000}"/>
    <cellStyle name="Normal 22 2 2 2 3" xfId="1297" xr:uid="{00000000-0005-0000-0000-000040050000}"/>
    <cellStyle name="Normal 22 2 2 2 3 2" xfId="1298" xr:uid="{00000000-0005-0000-0000-000041050000}"/>
    <cellStyle name="Normal 22 2 2 2 4" xfId="1299" xr:uid="{00000000-0005-0000-0000-000042050000}"/>
    <cellStyle name="Normal 22 2 2 2_Cover Page (r)" xfId="1300" xr:uid="{00000000-0005-0000-0000-000043050000}"/>
    <cellStyle name="Normal 22 2 2 3" xfId="1301" xr:uid="{00000000-0005-0000-0000-000044050000}"/>
    <cellStyle name="Normal 22 2 2 3 2" xfId="1302" xr:uid="{00000000-0005-0000-0000-000045050000}"/>
    <cellStyle name="Normal 22 2 2 3 2 2" xfId="1303" xr:uid="{00000000-0005-0000-0000-000046050000}"/>
    <cellStyle name="Normal 22 2 2 3 3" xfId="1304" xr:uid="{00000000-0005-0000-0000-000047050000}"/>
    <cellStyle name="Normal 22 2 2 4" xfId="1305" xr:uid="{00000000-0005-0000-0000-000048050000}"/>
    <cellStyle name="Normal 22 2 2 4 2" xfId="1306" xr:uid="{00000000-0005-0000-0000-000049050000}"/>
    <cellStyle name="Normal 22 2 2 5" xfId="1307" xr:uid="{00000000-0005-0000-0000-00004A050000}"/>
    <cellStyle name="Normal 22 2 2_Cover Page (r)" xfId="1308" xr:uid="{00000000-0005-0000-0000-00004B050000}"/>
    <cellStyle name="Normal 22 2 3" xfId="1309" xr:uid="{00000000-0005-0000-0000-00004C050000}"/>
    <cellStyle name="Normal 22 2 3 2" xfId="1310" xr:uid="{00000000-0005-0000-0000-00004D050000}"/>
    <cellStyle name="Normal 22 2 3 2 2" xfId="1311" xr:uid="{00000000-0005-0000-0000-00004E050000}"/>
    <cellStyle name="Normal 22 2 3 2 2 2" xfId="1312" xr:uid="{00000000-0005-0000-0000-00004F050000}"/>
    <cellStyle name="Normal 22 2 3 2 3" xfId="1313" xr:uid="{00000000-0005-0000-0000-000050050000}"/>
    <cellStyle name="Normal 22 2 3 3" xfId="1314" xr:uid="{00000000-0005-0000-0000-000051050000}"/>
    <cellStyle name="Normal 22 2 3 3 2" xfId="1315" xr:uid="{00000000-0005-0000-0000-000052050000}"/>
    <cellStyle name="Normal 22 2 3 4" xfId="1316" xr:uid="{00000000-0005-0000-0000-000053050000}"/>
    <cellStyle name="Normal 22 2 3_Cover Page (r)" xfId="1317" xr:uid="{00000000-0005-0000-0000-000054050000}"/>
    <cellStyle name="Normal 22 2 4" xfId="1318" xr:uid="{00000000-0005-0000-0000-000055050000}"/>
    <cellStyle name="Normal 22 2 4 2" xfId="1319" xr:uid="{00000000-0005-0000-0000-000056050000}"/>
    <cellStyle name="Normal 22 2 4 2 2" xfId="1320" xr:uid="{00000000-0005-0000-0000-000057050000}"/>
    <cellStyle name="Normal 22 2 4 3" xfId="1321" xr:uid="{00000000-0005-0000-0000-000058050000}"/>
    <cellStyle name="Normal 22 2 5" xfId="1322" xr:uid="{00000000-0005-0000-0000-000059050000}"/>
    <cellStyle name="Normal 22 2 5 2" xfId="1323" xr:uid="{00000000-0005-0000-0000-00005A050000}"/>
    <cellStyle name="Normal 22 2 6" xfId="1324" xr:uid="{00000000-0005-0000-0000-00005B050000}"/>
    <cellStyle name="Normal 22 2_Cover Page (r)" xfId="1325" xr:uid="{00000000-0005-0000-0000-00005C050000}"/>
    <cellStyle name="Normal 22 3" xfId="1326" xr:uid="{00000000-0005-0000-0000-00005D050000}"/>
    <cellStyle name="Normal 22 3 2" xfId="1327" xr:uid="{00000000-0005-0000-0000-00005E050000}"/>
    <cellStyle name="Normal 22 3 2 2" xfId="1328" xr:uid="{00000000-0005-0000-0000-00005F050000}"/>
    <cellStyle name="Normal 22 3 2 2 2" xfId="1329" xr:uid="{00000000-0005-0000-0000-000060050000}"/>
    <cellStyle name="Normal 22 3 2 2 2 2" xfId="1330" xr:uid="{00000000-0005-0000-0000-000061050000}"/>
    <cellStyle name="Normal 22 3 2 2 3" xfId="1331" xr:uid="{00000000-0005-0000-0000-000062050000}"/>
    <cellStyle name="Normal 22 3 2 3" xfId="1332" xr:uid="{00000000-0005-0000-0000-000063050000}"/>
    <cellStyle name="Normal 22 3 2 3 2" xfId="1333" xr:uid="{00000000-0005-0000-0000-000064050000}"/>
    <cellStyle name="Normal 22 3 2 4" xfId="1334" xr:uid="{00000000-0005-0000-0000-000065050000}"/>
    <cellStyle name="Normal 22 3 2_Cover Page (r)" xfId="1335" xr:uid="{00000000-0005-0000-0000-000066050000}"/>
    <cellStyle name="Normal 22 3 3" xfId="1336" xr:uid="{00000000-0005-0000-0000-000067050000}"/>
    <cellStyle name="Normal 22 3 3 2" xfId="1337" xr:uid="{00000000-0005-0000-0000-000068050000}"/>
    <cellStyle name="Normal 22 3 3 2 2" xfId="1338" xr:uid="{00000000-0005-0000-0000-000069050000}"/>
    <cellStyle name="Normal 22 3 3 3" xfId="1339" xr:uid="{00000000-0005-0000-0000-00006A050000}"/>
    <cellStyle name="Normal 22 3 4" xfId="1340" xr:uid="{00000000-0005-0000-0000-00006B050000}"/>
    <cellStyle name="Normal 22 3 4 2" xfId="1341" xr:uid="{00000000-0005-0000-0000-00006C050000}"/>
    <cellStyle name="Normal 22 3 5" xfId="1342" xr:uid="{00000000-0005-0000-0000-00006D050000}"/>
    <cellStyle name="Normal 22 3_Cover Page (r)" xfId="1343" xr:uid="{00000000-0005-0000-0000-00006E050000}"/>
    <cellStyle name="Normal 22 4" xfId="1344" xr:uid="{00000000-0005-0000-0000-00006F050000}"/>
    <cellStyle name="Normal 22 4 2" xfId="1345" xr:uid="{00000000-0005-0000-0000-000070050000}"/>
    <cellStyle name="Normal 22 4 2 2" xfId="1346" xr:uid="{00000000-0005-0000-0000-000071050000}"/>
    <cellStyle name="Normal 22 4 2 2 2" xfId="1347" xr:uid="{00000000-0005-0000-0000-000072050000}"/>
    <cellStyle name="Normal 22 4 2 3" xfId="1348" xr:uid="{00000000-0005-0000-0000-000073050000}"/>
    <cellStyle name="Normal 22 4 3" xfId="1349" xr:uid="{00000000-0005-0000-0000-000074050000}"/>
    <cellStyle name="Normal 22 4 3 2" xfId="1350" xr:uid="{00000000-0005-0000-0000-000075050000}"/>
    <cellStyle name="Normal 22 4 4" xfId="1351" xr:uid="{00000000-0005-0000-0000-000076050000}"/>
    <cellStyle name="Normal 22 4_Cover Page (r)" xfId="1352" xr:uid="{00000000-0005-0000-0000-000077050000}"/>
    <cellStyle name="Normal 22 5" xfId="1353" xr:uid="{00000000-0005-0000-0000-000078050000}"/>
    <cellStyle name="Normal 22 5 2" xfId="1354" xr:uid="{00000000-0005-0000-0000-000079050000}"/>
    <cellStyle name="Normal 22 5 2 2" xfId="1355" xr:uid="{00000000-0005-0000-0000-00007A050000}"/>
    <cellStyle name="Normal 22 5 3" xfId="1356" xr:uid="{00000000-0005-0000-0000-00007B050000}"/>
    <cellStyle name="Normal 22 6" xfId="1357" xr:uid="{00000000-0005-0000-0000-00007C050000}"/>
    <cellStyle name="Normal 22 6 2" xfId="1358" xr:uid="{00000000-0005-0000-0000-00007D050000}"/>
    <cellStyle name="Normal 22 7" xfId="1359" xr:uid="{00000000-0005-0000-0000-00007E050000}"/>
    <cellStyle name="Normal 22_Cover Page (r)" xfId="1360" xr:uid="{00000000-0005-0000-0000-00007F050000}"/>
    <cellStyle name="Normal 23" xfId="1361" xr:uid="{00000000-0005-0000-0000-000080050000}"/>
    <cellStyle name="Normal 24" xfId="1362" xr:uid="{00000000-0005-0000-0000-000081050000}"/>
    <cellStyle name="Normal 24 2" xfId="1363" xr:uid="{00000000-0005-0000-0000-000082050000}"/>
    <cellStyle name="Normal 24 2 2" xfId="1364" xr:uid="{00000000-0005-0000-0000-000083050000}"/>
    <cellStyle name="Normal 24 2 2 2" xfId="1365" xr:uid="{00000000-0005-0000-0000-000084050000}"/>
    <cellStyle name="Normal 24 2 2 2 2" xfId="1366" xr:uid="{00000000-0005-0000-0000-000085050000}"/>
    <cellStyle name="Normal 24 2 2 2 2 2" xfId="1367" xr:uid="{00000000-0005-0000-0000-000086050000}"/>
    <cellStyle name="Normal 24 2 2 2 3" xfId="1368" xr:uid="{00000000-0005-0000-0000-000087050000}"/>
    <cellStyle name="Normal 24 2 2 3" xfId="1369" xr:uid="{00000000-0005-0000-0000-000088050000}"/>
    <cellStyle name="Normal 24 2 2 3 2" xfId="1370" xr:uid="{00000000-0005-0000-0000-000089050000}"/>
    <cellStyle name="Normal 24 2 2 4" xfId="1371" xr:uid="{00000000-0005-0000-0000-00008A050000}"/>
    <cellStyle name="Normal 24 2 2_Cover Page (r)" xfId="1372" xr:uid="{00000000-0005-0000-0000-00008B050000}"/>
    <cellStyle name="Normal 24 2 3" xfId="1373" xr:uid="{00000000-0005-0000-0000-00008C050000}"/>
    <cellStyle name="Normal 24 2 3 2" xfId="1374" xr:uid="{00000000-0005-0000-0000-00008D050000}"/>
    <cellStyle name="Normal 24 2 3 2 2" xfId="1375" xr:uid="{00000000-0005-0000-0000-00008E050000}"/>
    <cellStyle name="Normal 24 2 3 3" xfId="1376" xr:uid="{00000000-0005-0000-0000-00008F050000}"/>
    <cellStyle name="Normal 24 2 4" xfId="1377" xr:uid="{00000000-0005-0000-0000-000090050000}"/>
    <cellStyle name="Normal 24 2 4 2" xfId="1378" xr:uid="{00000000-0005-0000-0000-000091050000}"/>
    <cellStyle name="Normal 24 2 5" xfId="1379" xr:uid="{00000000-0005-0000-0000-000092050000}"/>
    <cellStyle name="Normal 24 2_Cover Page (r)" xfId="1380" xr:uid="{00000000-0005-0000-0000-000093050000}"/>
    <cellStyle name="Normal 24 3" xfId="1381" xr:uid="{00000000-0005-0000-0000-000094050000}"/>
    <cellStyle name="Normal 24 3 2" xfId="1382" xr:uid="{00000000-0005-0000-0000-000095050000}"/>
    <cellStyle name="Normal 24 3 2 2" xfId="1383" xr:uid="{00000000-0005-0000-0000-000096050000}"/>
    <cellStyle name="Normal 24 3 2 2 2" xfId="1384" xr:uid="{00000000-0005-0000-0000-000097050000}"/>
    <cellStyle name="Normal 24 3 2 3" xfId="1385" xr:uid="{00000000-0005-0000-0000-000098050000}"/>
    <cellStyle name="Normal 24 3 3" xfId="1386" xr:uid="{00000000-0005-0000-0000-000099050000}"/>
    <cellStyle name="Normal 24 3 3 2" xfId="1387" xr:uid="{00000000-0005-0000-0000-00009A050000}"/>
    <cellStyle name="Normal 24 3 4" xfId="1388" xr:uid="{00000000-0005-0000-0000-00009B050000}"/>
    <cellStyle name="Normal 24 3_Cover Page (r)" xfId="1389" xr:uid="{00000000-0005-0000-0000-00009C050000}"/>
    <cellStyle name="Normal 24 4" xfId="1390" xr:uid="{00000000-0005-0000-0000-00009D050000}"/>
    <cellStyle name="Normal 24 4 2" xfId="1391" xr:uid="{00000000-0005-0000-0000-00009E050000}"/>
    <cellStyle name="Normal 24 4 2 2" xfId="1392" xr:uid="{00000000-0005-0000-0000-00009F050000}"/>
    <cellStyle name="Normal 24 4 3" xfId="1393" xr:uid="{00000000-0005-0000-0000-0000A0050000}"/>
    <cellStyle name="Normal 24 5" xfId="1394" xr:uid="{00000000-0005-0000-0000-0000A1050000}"/>
    <cellStyle name="Normal 24 5 2" xfId="1395" xr:uid="{00000000-0005-0000-0000-0000A2050000}"/>
    <cellStyle name="Normal 24 6" xfId="1396" xr:uid="{00000000-0005-0000-0000-0000A3050000}"/>
    <cellStyle name="Normal 24_Cover Page (r)" xfId="1397" xr:uid="{00000000-0005-0000-0000-0000A4050000}"/>
    <cellStyle name="Normal 25" xfId="1398" xr:uid="{00000000-0005-0000-0000-0000A5050000}"/>
    <cellStyle name="Normal 25 2" xfId="1399" xr:uid="{00000000-0005-0000-0000-0000A6050000}"/>
    <cellStyle name="Normal 25 2 2" xfId="1400" xr:uid="{00000000-0005-0000-0000-0000A7050000}"/>
    <cellStyle name="Normal 25 2 2 2" xfId="1401" xr:uid="{00000000-0005-0000-0000-0000A8050000}"/>
    <cellStyle name="Normal 25 2 2 2 2" xfId="1402" xr:uid="{00000000-0005-0000-0000-0000A9050000}"/>
    <cellStyle name="Normal 25 2 2 3" xfId="1403" xr:uid="{00000000-0005-0000-0000-0000AA050000}"/>
    <cellStyle name="Normal 25 2 3" xfId="1404" xr:uid="{00000000-0005-0000-0000-0000AB050000}"/>
    <cellStyle name="Normal 25 2 3 2" xfId="1405" xr:uid="{00000000-0005-0000-0000-0000AC050000}"/>
    <cellStyle name="Normal 25 2 4" xfId="1406" xr:uid="{00000000-0005-0000-0000-0000AD050000}"/>
    <cellStyle name="Normal 25 2_Cover Page (r)" xfId="1407" xr:uid="{00000000-0005-0000-0000-0000AE050000}"/>
    <cellStyle name="Normal 25 3" xfId="1408" xr:uid="{00000000-0005-0000-0000-0000AF050000}"/>
    <cellStyle name="Normal 25 3 2" xfId="1409" xr:uid="{00000000-0005-0000-0000-0000B0050000}"/>
    <cellStyle name="Normal 25 3 2 2" xfId="1410" xr:uid="{00000000-0005-0000-0000-0000B1050000}"/>
    <cellStyle name="Normal 25 3 3" xfId="1411" xr:uid="{00000000-0005-0000-0000-0000B2050000}"/>
    <cellStyle name="Normal 25 4" xfId="1412" xr:uid="{00000000-0005-0000-0000-0000B3050000}"/>
    <cellStyle name="Normal 25 4 2" xfId="1413" xr:uid="{00000000-0005-0000-0000-0000B4050000}"/>
    <cellStyle name="Normal 25 5" xfId="1414" xr:uid="{00000000-0005-0000-0000-0000B5050000}"/>
    <cellStyle name="Normal 25_Cover Page (r)" xfId="1415" xr:uid="{00000000-0005-0000-0000-0000B6050000}"/>
    <cellStyle name="Normal 26" xfId="1416" xr:uid="{00000000-0005-0000-0000-0000B7050000}"/>
    <cellStyle name="Normal 27" xfId="1417" xr:uid="{00000000-0005-0000-0000-0000B8050000}"/>
    <cellStyle name="Normal 28" xfId="1418" xr:uid="{00000000-0005-0000-0000-0000B9050000}"/>
    <cellStyle name="Normal 29" xfId="1419" xr:uid="{00000000-0005-0000-0000-0000BA050000}"/>
    <cellStyle name="Normal 29 2" xfId="1420" xr:uid="{00000000-0005-0000-0000-0000BB050000}"/>
    <cellStyle name="Normal 3" xfId="1421" xr:uid="{00000000-0005-0000-0000-0000BC050000}"/>
    <cellStyle name="Normal 3 2" xfId="1422" xr:uid="{00000000-0005-0000-0000-0000BD050000}"/>
    <cellStyle name="Normal 3 3" xfId="1423" xr:uid="{00000000-0005-0000-0000-0000BE050000}"/>
    <cellStyle name="Normal 30" xfId="1424" xr:uid="{00000000-0005-0000-0000-0000BF050000}"/>
    <cellStyle name="Normal 30 2" xfId="1425" xr:uid="{00000000-0005-0000-0000-0000C0050000}"/>
    <cellStyle name="Normal 31" xfId="1426" xr:uid="{00000000-0005-0000-0000-0000C1050000}"/>
    <cellStyle name="Normal 31 2" xfId="1427" xr:uid="{00000000-0005-0000-0000-0000C2050000}"/>
    <cellStyle name="Normal 32" xfId="1428" xr:uid="{00000000-0005-0000-0000-0000C3050000}"/>
    <cellStyle name="Normal 32 2" xfId="1429" xr:uid="{00000000-0005-0000-0000-0000C4050000}"/>
    <cellStyle name="Normal 33" xfId="1430" xr:uid="{00000000-0005-0000-0000-0000C5050000}"/>
    <cellStyle name="Normal 33 2" xfId="1431" xr:uid="{00000000-0005-0000-0000-0000C6050000}"/>
    <cellStyle name="Normal 34" xfId="1432" xr:uid="{00000000-0005-0000-0000-0000C7050000}"/>
    <cellStyle name="Normal 35" xfId="1433" xr:uid="{00000000-0005-0000-0000-0000C8050000}"/>
    <cellStyle name="Normal 36" xfId="1434" xr:uid="{00000000-0005-0000-0000-0000C9050000}"/>
    <cellStyle name="Normal 37" xfId="1435" xr:uid="{00000000-0005-0000-0000-0000CA050000}"/>
    <cellStyle name="Normal 38" xfId="1436" xr:uid="{00000000-0005-0000-0000-0000CB050000}"/>
    <cellStyle name="Normal 39" xfId="1437" xr:uid="{00000000-0005-0000-0000-0000CC050000}"/>
    <cellStyle name="Normal 4" xfId="1438" xr:uid="{00000000-0005-0000-0000-0000CD050000}"/>
    <cellStyle name="Normal 4 2" xfId="1439" xr:uid="{00000000-0005-0000-0000-0000CE050000}"/>
    <cellStyle name="Normal 4 3" xfId="1440" xr:uid="{00000000-0005-0000-0000-0000CF050000}"/>
    <cellStyle name="Normal 4 4" xfId="1441" xr:uid="{00000000-0005-0000-0000-0000D0050000}"/>
    <cellStyle name="Normal 40" xfId="1442" xr:uid="{00000000-0005-0000-0000-0000D1050000}"/>
    <cellStyle name="Normal 41" xfId="1443" xr:uid="{00000000-0005-0000-0000-0000D2050000}"/>
    <cellStyle name="Normal 42" xfId="1444" xr:uid="{00000000-0005-0000-0000-0000D3050000}"/>
    <cellStyle name="Normal 43" xfId="1445" xr:uid="{00000000-0005-0000-0000-0000D4050000}"/>
    <cellStyle name="Normal 44" xfId="1446" xr:uid="{00000000-0005-0000-0000-0000D5050000}"/>
    <cellStyle name="Normal 45" xfId="1447" xr:uid="{00000000-0005-0000-0000-0000D6050000}"/>
    <cellStyle name="Normal 46" xfId="1448" xr:uid="{00000000-0005-0000-0000-0000D7050000}"/>
    <cellStyle name="Normal 47" xfId="1449" xr:uid="{00000000-0005-0000-0000-0000D8050000}"/>
    <cellStyle name="Normal 48" xfId="1450" xr:uid="{00000000-0005-0000-0000-0000D9050000}"/>
    <cellStyle name="Normal 49" xfId="1451" xr:uid="{00000000-0005-0000-0000-0000DA050000}"/>
    <cellStyle name="Normal 5" xfId="1452" xr:uid="{00000000-0005-0000-0000-0000DB050000}"/>
    <cellStyle name="Normal 5 2" xfId="1453" xr:uid="{00000000-0005-0000-0000-0000DC050000}"/>
    <cellStyle name="Normal 5 3" xfId="1454" xr:uid="{00000000-0005-0000-0000-0000DD050000}"/>
    <cellStyle name="Normal 50" xfId="1455" xr:uid="{00000000-0005-0000-0000-0000DE050000}"/>
    <cellStyle name="Normal 51" xfId="1456" xr:uid="{00000000-0005-0000-0000-0000DF050000}"/>
    <cellStyle name="Normal 52" xfId="1457" xr:uid="{00000000-0005-0000-0000-0000E0050000}"/>
    <cellStyle name="Normal 53" xfId="1458" xr:uid="{00000000-0005-0000-0000-0000E1050000}"/>
    <cellStyle name="Normal 54" xfId="1459" xr:uid="{00000000-0005-0000-0000-0000E2050000}"/>
    <cellStyle name="Normal 55" xfId="1460" xr:uid="{00000000-0005-0000-0000-0000E3050000}"/>
    <cellStyle name="Normal 56" xfId="1461" xr:uid="{00000000-0005-0000-0000-0000E4050000}"/>
    <cellStyle name="Normal 57" xfId="1462" xr:uid="{00000000-0005-0000-0000-0000E5050000}"/>
    <cellStyle name="Normal 58" xfId="1463" xr:uid="{00000000-0005-0000-0000-0000E6050000}"/>
    <cellStyle name="Normal 59" xfId="1464" xr:uid="{00000000-0005-0000-0000-0000E7050000}"/>
    <cellStyle name="Normal 6" xfId="1465" xr:uid="{00000000-0005-0000-0000-0000E8050000}"/>
    <cellStyle name="Normal 6 2" xfId="1466" xr:uid="{00000000-0005-0000-0000-0000E9050000}"/>
    <cellStyle name="Normal 6 3" xfId="1467" xr:uid="{00000000-0005-0000-0000-0000EA050000}"/>
    <cellStyle name="Normal 60" xfId="1468" xr:uid="{00000000-0005-0000-0000-0000EB050000}"/>
    <cellStyle name="Normal 61" xfId="1469" xr:uid="{00000000-0005-0000-0000-0000EC050000}"/>
    <cellStyle name="Normal 62" xfId="1470" xr:uid="{00000000-0005-0000-0000-0000ED050000}"/>
    <cellStyle name="Normal 63" xfId="1471" xr:uid="{00000000-0005-0000-0000-0000EE050000}"/>
    <cellStyle name="Normal 64" xfId="1472" xr:uid="{00000000-0005-0000-0000-0000EF050000}"/>
    <cellStyle name="Normal 65" xfId="1473" xr:uid="{00000000-0005-0000-0000-0000F0050000}"/>
    <cellStyle name="Normal 66" xfId="1474" xr:uid="{00000000-0005-0000-0000-0000F1050000}"/>
    <cellStyle name="Normal 67" xfId="1475" xr:uid="{00000000-0005-0000-0000-0000F2050000}"/>
    <cellStyle name="Normal 68" xfId="1476" xr:uid="{00000000-0005-0000-0000-0000F3050000}"/>
    <cellStyle name="Normal 69" xfId="1477" xr:uid="{00000000-0005-0000-0000-0000F4050000}"/>
    <cellStyle name="Normal 7" xfId="1478" xr:uid="{00000000-0005-0000-0000-0000F5050000}"/>
    <cellStyle name="Normal 7 2" xfId="1479" xr:uid="{00000000-0005-0000-0000-0000F6050000}"/>
    <cellStyle name="Normal 7 3" xfId="1480" xr:uid="{00000000-0005-0000-0000-0000F7050000}"/>
    <cellStyle name="Normal 70" xfId="1481" xr:uid="{00000000-0005-0000-0000-0000F8050000}"/>
    <cellStyle name="Normal 71" xfId="1482" xr:uid="{00000000-0005-0000-0000-0000F9050000}"/>
    <cellStyle name="Normal 72" xfId="1483" xr:uid="{00000000-0005-0000-0000-0000FA050000}"/>
    <cellStyle name="Normal 73" xfId="1484" xr:uid="{00000000-0005-0000-0000-0000FB050000}"/>
    <cellStyle name="Normal 74" xfId="1485" xr:uid="{00000000-0005-0000-0000-0000FC050000}"/>
    <cellStyle name="Normal 75" xfId="1486" xr:uid="{00000000-0005-0000-0000-0000FD050000}"/>
    <cellStyle name="Normal 76" xfId="1487" xr:uid="{00000000-0005-0000-0000-0000FE050000}"/>
    <cellStyle name="Normal 77" xfId="1488" xr:uid="{00000000-0005-0000-0000-0000FF050000}"/>
    <cellStyle name="Normal 78" xfId="1489" xr:uid="{00000000-0005-0000-0000-000000060000}"/>
    <cellStyle name="Normal 79" xfId="1490" xr:uid="{00000000-0005-0000-0000-000001060000}"/>
    <cellStyle name="Normal 8" xfId="1491" xr:uid="{00000000-0005-0000-0000-000002060000}"/>
    <cellStyle name="Normal 8 2" xfId="1492" xr:uid="{00000000-0005-0000-0000-000003060000}"/>
    <cellStyle name="Normal 8 3" xfId="1493" xr:uid="{00000000-0005-0000-0000-000004060000}"/>
    <cellStyle name="Normal 80" xfId="1494" xr:uid="{00000000-0005-0000-0000-000005060000}"/>
    <cellStyle name="Normal 81" xfId="1495" xr:uid="{00000000-0005-0000-0000-000006060000}"/>
    <cellStyle name="Normal 82" xfId="1496" xr:uid="{00000000-0005-0000-0000-000007060000}"/>
    <cellStyle name="Normal 83" xfId="1497" xr:uid="{00000000-0005-0000-0000-000008060000}"/>
    <cellStyle name="Normal 84" xfId="1498" xr:uid="{00000000-0005-0000-0000-000009060000}"/>
    <cellStyle name="Normal 85" xfId="1499" xr:uid="{00000000-0005-0000-0000-00000A060000}"/>
    <cellStyle name="Normal 86" xfId="1500" xr:uid="{00000000-0005-0000-0000-00000B060000}"/>
    <cellStyle name="Normal 87" xfId="1560" xr:uid="{4676446A-38B3-4570-A5B0-579AB0D040C2}"/>
    <cellStyle name="Normal 9" xfId="1501" xr:uid="{00000000-0005-0000-0000-00000C060000}"/>
    <cellStyle name="Normal 9 2" xfId="1502" xr:uid="{00000000-0005-0000-0000-00000D060000}"/>
    <cellStyle name="Normal 9 3" xfId="1503" xr:uid="{00000000-0005-0000-0000-00000E060000}"/>
    <cellStyle name="Normal font" xfId="1504" xr:uid="{00000000-0005-0000-0000-00000F060000}"/>
    <cellStyle name="Normal_ACTIVE SECURITIES-GHS" xfId="1505" xr:uid="{00000000-0005-0000-0000-000010060000}"/>
    <cellStyle name="Normal_Sheet1" xfId="1506" xr:uid="{00000000-0005-0000-0000-000011060000}"/>
    <cellStyle name="Normal_Sheet2" xfId="1507" xr:uid="{00000000-0005-0000-0000-000012060000}"/>
    <cellStyle name="Note 10" xfId="1508" xr:uid="{00000000-0005-0000-0000-000013060000}"/>
    <cellStyle name="Note 11" xfId="1509" xr:uid="{00000000-0005-0000-0000-000014060000}"/>
    <cellStyle name="Note 2" xfId="1510" xr:uid="{00000000-0005-0000-0000-000015060000}"/>
    <cellStyle name="Note 2 2" xfId="1511" xr:uid="{00000000-0005-0000-0000-000016060000}"/>
    <cellStyle name="Note 2 2 2" xfId="1512" xr:uid="{00000000-0005-0000-0000-000017060000}"/>
    <cellStyle name="Note 2 2 2 2" xfId="1513" xr:uid="{00000000-0005-0000-0000-000018060000}"/>
    <cellStyle name="Note 2 2 3" xfId="1514" xr:uid="{00000000-0005-0000-0000-000019060000}"/>
    <cellStyle name="Note 2 2_Cover Page (r)" xfId="1515" xr:uid="{00000000-0005-0000-0000-00001A060000}"/>
    <cellStyle name="Note 2 3" xfId="1516" xr:uid="{00000000-0005-0000-0000-00001B060000}"/>
    <cellStyle name="Note 2 3 2" xfId="1517" xr:uid="{00000000-0005-0000-0000-00001C060000}"/>
    <cellStyle name="Note 2 4" xfId="1518" xr:uid="{00000000-0005-0000-0000-00001D060000}"/>
    <cellStyle name="Note 2_Cover Page (r)" xfId="1519" xr:uid="{00000000-0005-0000-0000-00001E060000}"/>
    <cellStyle name="Note 3" xfId="1520" xr:uid="{00000000-0005-0000-0000-00001F060000}"/>
    <cellStyle name="Note 3 2" xfId="1521" xr:uid="{00000000-0005-0000-0000-000020060000}"/>
    <cellStyle name="Note 3 2 2" xfId="1522" xr:uid="{00000000-0005-0000-0000-000021060000}"/>
    <cellStyle name="Note 3 3" xfId="1523" xr:uid="{00000000-0005-0000-0000-000022060000}"/>
    <cellStyle name="Note 3_Cover Page (r)" xfId="1524" xr:uid="{00000000-0005-0000-0000-000023060000}"/>
    <cellStyle name="Note 4" xfId="1525" xr:uid="{00000000-0005-0000-0000-000024060000}"/>
    <cellStyle name="Note 4 2" xfId="1526" xr:uid="{00000000-0005-0000-0000-000025060000}"/>
    <cellStyle name="Note 5" xfId="1527" xr:uid="{00000000-0005-0000-0000-000026060000}"/>
    <cellStyle name="Note 5 2" xfId="1528" xr:uid="{00000000-0005-0000-0000-000027060000}"/>
    <cellStyle name="Note 6" xfId="1529" xr:uid="{00000000-0005-0000-0000-000028060000}"/>
    <cellStyle name="Note 6 2" xfId="1530" xr:uid="{00000000-0005-0000-0000-000029060000}"/>
    <cellStyle name="Note 7" xfId="1531" xr:uid="{00000000-0005-0000-0000-00002A060000}"/>
    <cellStyle name="Note 7 2" xfId="1532" xr:uid="{00000000-0005-0000-0000-00002B060000}"/>
    <cellStyle name="Note 8" xfId="1533" xr:uid="{00000000-0005-0000-0000-00002C060000}"/>
    <cellStyle name="Note 9" xfId="1534" xr:uid="{00000000-0005-0000-0000-00002D060000}"/>
    <cellStyle name="Output 2" xfId="1535" xr:uid="{00000000-0005-0000-0000-00002E060000}"/>
    <cellStyle name="Output 2 2" xfId="1536" xr:uid="{00000000-0005-0000-0000-00002F060000}"/>
    <cellStyle name="Output 2 2 2" xfId="1537" xr:uid="{00000000-0005-0000-0000-000030060000}"/>
    <cellStyle name="Output 2 3" xfId="1538" xr:uid="{00000000-0005-0000-0000-000031060000}"/>
    <cellStyle name="Output 2_Cover Page (r)" xfId="1539" xr:uid="{00000000-0005-0000-0000-000032060000}"/>
    <cellStyle name="Output 3" xfId="1540" xr:uid="{00000000-0005-0000-0000-000033060000}"/>
    <cellStyle name="Output 3 2" xfId="1541" xr:uid="{00000000-0005-0000-0000-000034060000}"/>
    <cellStyle name="Output 4" xfId="1542" xr:uid="{00000000-0005-0000-0000-000035060000}"/>
    <cellStyle name="Output 5" xfId="1543" xr:uid="{00000000-0005-0000-0000-000036060000}"/>
    <cellStyle name="Percent 2" xfId="1544" xr:uid="{00000000-0005-0000-0000-000037060000}"/>
    <cellStyle name="Right heading" xfId="1545" xr:uid="{00000000-0005-0000-0000-000038060000}"/>
    <cellStyle name="Title 2" xfId="1546" xr:uid="{00000000-0005-0000-0000-000039060000}"/>
    <cellStyle name="Title 3" xfId="1547" xr:uid="{00000000-0005-0000-0000-00003A060000}"/>
    <cellStyle name="Top heading" xfId="1548" xr:uid="{00000000-0005-0000-0000-00003B060000}"/>
    <cellStyle name="Total 2" xfId="1549" xr:uid="{00000000-0005-0000-0000-00003C060000}"/>
    <cellStyle name="Total 2 2" xfId="1550" xr:uid="{00000000-0005-0000-0000-00003D060000}"/>
    <cellStyle name="Total 2 2 2" xfId="1551" xr:uid="{00000000-0005-0000-0000-00003E060000}"/>
    <cellStyle name="Total 2 3" xfId="1552" xr:uid="{00000000-0005-0000-0000-00003F060000}"/>
    <cellStyle name="Total 2_Cover Page (r)" xfId="1553" xr:uid="{00000000-0005-0000-0000-000040060000}"/>
    <cellStyle name="Total 3" xfId="1554" xr:uid="{00000000-0005-0000-0000-000041060000}"/>
    <cellStyle name="Total 3 2" xfId="1555" xr:uid="{00000000-0005-0000-0000-000042060000}"/>
    <cellStyle name="Total 4" xfId="1556" xr:uid="{00000000-0005-0000-0000-000043060000}"/>
    <cellStyle name="Total 5" xfId="1557" xr:uid="{00000000-0005-0000-0000-000044060000}"/>
    <cellStyle name="Warning Text 2" xfId="1558" xr:uid="{00000000-0005-0000-0000-000045060000}"/>
    <cellStyle name="Warning Text 3" xfId="1559" xr:uid="{00000000-0005-0000-0000-000046060000}"/>
  </cellStyles>
  <dxfs count="0"/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954405</xdr:colOff>
      <xdr:row>26</xdr:row>
      <xdr:rowOff>175683</xdr:rowOff>
    </xdr:from>
    <xdr:to>
      <xdr:col>4</xdr:col>
      <xdr:colOff>1048385</xdr:colOff>
      <xdr:row>31</xdr:row>
      <xdr:rowOff>169968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1430" y="6709833"/>
          <a:ext cx="5624195" cy="960120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0</xdr:row>
      <xdr:rowOff>76200</xdr:rowOff>
    </xdr:from>
    <xdr:to>
      <xdr:col>1</xdr:col>
      <xdr:colOff>2021628</xdr:colOff>
      <xdr:row>0</xdr:row>
      <xdr:rowOff>663576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5AB165-1C5F-4DEC-93D9-B38184D62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" y="76200"/>
          <a:ext cx="1669203" cy="586741"/>
        </a:xfrm>
        <a:prstGeom prst="rect">
          <a:avLst/>
        </a:prstGeom>
      </xdr:spPr>
    </xdr:pic>
    <xdr:clientData/>
  </xdr:twoCellAnchor>
  <xdr:twoCellAnchor editAs="oneCell">
    <xdr:from>
      <xdr:col>3</xdr:col>
      <xdr:colOff>1533525</xdr:colOff>
      <xdr:row>0</xdr:row>
      <xdr:rowOff>0</xdr:rowOff>
    </xdr:from>
    <xdr:to>
      <xdr:col>4</xdr:col>
      <xdr:colOff>1431290</xdr:colOff>
      <xdr:row>1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F9198C-01CE-4866-8B4D-F6709A58A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62925" y="0"/>
          <a:ext cx="1673860" cy="838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2185035</xdr:colOff>
      <xdr:row>13</xdr:row>
      <xdr:rowOff>20955</xdr:rowOff>
    </xdr:from>
    <xdr:to>
      <xdr:col>8</xdr:col>
      <xdr:colOff>20371</xdr:colOff>
      <xdr:row>17</xdr:row>
      <xdr:rowOff>155397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EADF0D-B61A-4E28-9423-7AFCC0232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635" y="8987155"/>
          <a:ext cx="6318936" cy="871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3175</xdr:colOff>
      <xdr:row>0</xdr:row>
      <xdr:rowOff>817880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BD4D9D-DDF2-4745-9B5C-FF41963DC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746250" cy="825500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914400</xdr:colOff>
      <xdr:row>0</xdr:row>
      <xdr:rowOff>0</xdr:rowOff>
    </xdr:from>
    <xdr:to>
      <xdr:col>6</xdr:col>
      <xdr:colOff>550545</xdr:colOff>
      <xdr:row>0</xdr:row>
      <xdr:rowOff>817880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32D619-FA1F-4C66-979D-AA56373A7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53300" y="0"/>
          <a:ext cx="1598295" cy="825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2261235</xdr:colOff>
      <xdr:row>51</xdr:row>
      <xdr:rowOff>87630</xdr:rowOff>
    </xdr:from>
    <xdr:to>
      <xdr:col>7</xdr:col>
      <xdr:colOff>835133</xdr:colOff>
      <xdr:row>56</xdr:row>
      <xdr:rowOff>56338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9950" y="11991340"/>
          <a:ext cx="6115685" cy="9817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650990</xdr:colOff>
      <xdr:row>0</xdr:row>
      <xdr:rowOff>606425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446530" cy="602615"/>
        </a:xfrm>
        <a:prstGeom prst="rect">
          <a:avLst/>
        </a:prstGeom>
      </xdr:spPr>
    </xdr:pic>
    <xdr:clientData/>
  </xdr:twoCellAnchor>
  <xdr:twoCellAnchor editAs="oneCell">
    <xdr:from>
      <xdr:col>4</xdr:col>
      <xdr:colOff>545522</xdr:colOff>
      <xdr:row>0</xdr:row>
      <xdr:rowOff>43295</xdr:rowOff>
    </xdr:from>
    <xdr:to>
      <xdr:col>6</xdr:col>
      <xdr:colOff>703928</xdr:colOff>
      <xdr:row>0</xdr:row>
      <xdr:rowOff>803160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37120" y="43180"/>
          <a:ext cx="2044065" cy="7689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2185035</xdr:colOff>
      <xdr:row>35</xdr:row>
      <xdr:rowOff>20955</xdr:rowOff>
    </xdr:from>
    <xdr:to>
      <xdr:col>7</xdr:col>
      <xdr:colOff>839521</xdr:colOff>
      <xdr:row>39</xdr:row>
      <xdr:rowOff>95072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7625" y="9505315"/>
          <a:ext cx="5969635" cy="8832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1007110</xdr:colOff>
      <xdr:row>0</xdr:row>
      <xdr:rowOff>588645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435735" cy="590550"/>
        </a:xfrm>
        <a:prstGeom prst="rect">
          <a:avLst/>
        </a:prstGeom>
      </xdr:spPr>
    </xdr:pic>
    <xdr:clientData/>
  </xdr:twoCellAnchor>
  <xdr:twoCellAnchor editAs="oneCell">
    <xdr:from>
      <xdr:col>4</xdr:col>
      <xdr:colOff>510540</xdr:colOff>
      <xdr:row>0</xdr:row>
      <xdr:rowOff>0</xdr:rowOff>
    </xdr:from>
    <xdr:to>
      <xdr:col>6</xdr:col>
      <xdr:colOff>401955</xdr:colOff>
      <xdr:row>1</xdr:row>
      <xdr:rowOff>55245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56070" y="0"/>
          <a:ext cx="1760220" cy="8940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0</xdr:row>
      <xdr:rowOff>0</xdr:rowOff>
    </xdr:from>
    <xdr:to>
      <xdr:col>2</xdr:col>
      <xdr:colOff>969645</xdr:colOff>
      <xdr:row>0</xdr:row>
      <xdr:rowOff>550545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438275" cy="552450"/>
        </a:xfrm>
        <a:prstGeom prst="rect">
          <a:avLst/>
        </a:prstGeom>
      </xdr:spPr>
    </xdr:pic>
    <xdr:clientData/>
  </xdr:twoCellAnchor>
  <xdr:twoCellAnchor editAs="oneCell">
    <xdr:from>
      <xdr:col>4</xdr:col>
      <xdr:colOff>883920</xdr:colOff>
      <xdr:row>0</xdr:row>
      <xdr:rowOff>0</xdr:rowOff>
    </xdr:from>
    <xdr:to>
      <xdr:col>6</xdr:col>
      <xdr:colOff>1259205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1270" y="0"/>
          <a:ext cx="2308860" cy="8940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0</xdr:row>
      <xdr:rowOff>76200</xdr:rowOff>
    </xdr:from>
    <xdr:to>
      <xdr:col>3</xdr:col>
      <xdr:colOff>609600</xdr:colOff>
      <xdr:row>0</xdr:row>
      <xdr:rowOff>723900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76200"/>
          <a:ext cx="1522095" cy="647700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285750</xdr:colOff>
      <xdr:row>0</xdr:row>
      <xdr:rowOff>0</xdr:rowOff>
    </xdr:from>
    <xdr:to>
      <xdr:col>8</xdr:col>
      <xdr:colOff>396240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  <a:ext uri="{147F2762-F138-4A5C-976F-8EAC2B608ADB}">
              <a16:predDERef xmlns:a16="http://schemas.microsoft.com/office/drawing/2014/main" pre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05675" y="0"/>
          <a:ext cx="2152650" cy="8191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2280285</xdr:colOff>
      <xdr:row>50</xdr:row>
      <xdr:rowOff>93980</xdr:rowOff>
    </xdr:from>
    <xdr:to>
      <xdr:col>7</xdr:col>
      <xdr:colOff>321419</xdr:colOff>
      <xdr:row>55</xdr:row>
      <xdr:rowOff>110948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2385" y="11625580"/>
          <a:ext cx="6701264" cy="10012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21589</xdr:colOff>
      <xdr:row>0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31570" cy="495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43295</xdr:rowOff>
    </xdr:from>
    <xdr:to>
      <xdr:col>5</xdr:col>
      <xdr:colOff>1127415</xdr:colOff>
      <xdr:row>1</xdr:row>
      <xdr:rowOff>168910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1650" y="43295"/>
          <a:ext cx="2139605" cy="9536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H15" sqref="H15"/>
    </sheetView>
  </sheetViews>
  <sheetFormatPr defaultColWidth="9.33203125" defaultRowHeight="15"/>
  <cols>
    <col min="1" max="1" width="6.33203125" style="1" customWidth="1"/>
    <col min="2" max="2" width="36.33203125" style="1" customWidth="1"/>
    <col min="3" max="3" width="56.33203125" style="1" customWidth="1"/>
    <col min="4" max="4" width="26.33203125" style="1" customWidth="1"/>
    <col min="5" max="5" width="24.33203125" style="1" customWidth="1"/>
    <col min="6" max="6" width="49" style="1" customWidth="1"/>
    <col min="7" max="7" width="20.33203125" style="1" customWidth="1"/>
    <col min="8" max="8" width="14.33203125" style="1" customWidth="1"/>
    <col min="9" max="9" width="15.33203125" style="1" customWidth="1"/>
    <col min="10" max="11" width="9.33203125" style="1"/>
    <col min="12" max="12" width="10" style="1" customWidth="1"/>
    <col min="13" max="13" width="10.33203125" style="1" customWidth="1"/>
    <col min="14" max="16" width="9.33203125" style="1"/>
    <col min="17" max="17" width="16.33203125" style="1" customWidth="1"/>
    <col min="18" max="16384" width="9.33203125" style="1"/>
  </cols>
  <sheetData>
    <row r="1" spans="1:12" s="3" customFormat="1" ht="66" customHeight="1">
      <c r="A1" s="130"/>
      <c r="B1" s="131"/>
      <c r="C1" s="275" t="s">
        <v>0</v>
      </c>
      <c r="D1" s="275"/>
      <c r="E1" s="275"/>
      <c r="F1" s="275"/>
      <c r="G1" s="275"/>
      <c r="H1" s="276"/>
    </row>
    <row r="2" spans="1:12" s="3" customFormat="1" ht="42.6" customHeight="1">
      <c r="A2" s="222"/>
      <c r="B2" s="134"/>
      <c r="C2" s="132"/>
      <c r="D2" s="132"/>
      <c r="E2" s="132" t="s">
        <v>1</v>
      </c>
      <c r="F2" s="132"/>
      <c r="G2" s="132"/>
      <c r="H2" s="133"/>
    </row>
    <row r="3" spans="1:12" ht="29.85" customHeight="1">
      <c r="A3" s="277" t="s">
        <v>2</v>
      </c>
      <c r="B3" s="277"/>
      <c r="C3" s="277"/>
      <c r="D3" s="277"/>
      <c r="E3" s="277"/>
      <c r="F3" s="277"/>
      <c r="G3" s="277"/>
      <c r="H3" s="277"/>
      <c r="I3" s="3"/>
      <c r="J3" s="149"/>
      <c r="K3" s="149"/>
      <c r="L3" s="149"/>
    </row>
    <row r="4" spans="1:12" ht="31.2">
      <c r="A4" s="222" t="s">
        <v>3</v>
      </c>
      <c r="B4" s="222"/>
      <c r="C4" s="222"/>
      <c r="D4" s="222" t="s">
        <v>4</v>
      </c>
      <c r="E4" s="222" t="s">
        <v>5</v>
      </c>
      <c r="F4" s="223" t="s">
        <v>6</v>
      </c>
      <c r="G4" s="224" t="s">
        <v>7</v>
      </c>
      <c r="H4" s="225" t="s">
        <v>8</v>
      </c>
      <c r="I4" s="136"/>
      <c r="J4" s="149"/>
      <c r="K4" s="149"/>
      <c r="L4" s="149"/>
    </row>
    <row r="5" spans="1:12" ht="15.6">
      <c r="A5" s="226" t="s">
        <v>9</v>
      </c>
      <c r="B5" s="226" t="s">
        <v>10</v>
      </c>
      <c r="C5" s="227" t="s">
        <v>11</v>
      </c>
      <c r="D5" s="228">
        <f>'NEW GOG NOTES AND BONDS'!H6</f>
        <v>1105000</v>
      </c>
      <c r="E5" s="228">
        <f>'NEW GOG NOTES AND BONDS'!I6</f>
        <v>3</v>
      </c>
      <c r="F5" s="229"/>
      <c r="G5" s="229"/>
      <c r="H5" s="230"/>
      <c r="I5" s="150"/>
      <c r="J5" s="149"/>
      <c r="K5" s="151"/>
      <c r="L5" s="152"/>
    </row>
    <row r="6" spans="1:12" ht="15.6">
      <c r="A6" s="226"/>
      <c r="B6" s="226"/>
      <c r="C6" s="227" t="s">
        <v>12</v>
      </c>
      <c r="D6" s="231">
        <f>'DDEP BONDS'!H40</f>
        <v>326610503</v>
      </c>
      <c r="E6" s="153">
        <f>'DDEP BONDS'!I40</f>
        <v>23</v>
      </c>
      <c r="F6" s="229"/>
      <c r="G6" s="229"/>
      <c r="H6" s="230"/>
      <c r="I6" s="150"/>
      <c r="J6" s="149"/>
      <c r="K6" s="151"/>
      <c r="L6" s="152"/>
    </row>
    <row r="7" spans="1:12" ht="15.6">
      <c r="A7" s="226"/>
      <c r="B7" s="226"/>
      <c r="C7" s="232" t="s">
        <v>13</v>
      </c>
      <c r="D7" s="228">
        <f>'OLD GOG NOTES AND BONDS '!H28</f>
        <v>0</v>
      </c>
      <c r="E7" s="228">
        <f>'OLD GOG NOTES AND BONDS '!I28</f>
        <v>0</v>
      </c>
      <c r="F7" s="229"/>
      <c r="G7" s="229"/>
      <c r="H7" s="229"/>
      <c r="I7" s="150"/>
      <c r="J7" s="149"/>
      <c r="K7" s="151"/>
      <c r="L7" s="152"/>
    </row>
    <row r="8" spans="1:12" ht="15.6">
      <c r="A8" s="226"/>
      <c r="B8" s="226"/>
      <c r="C8" s="232" t="s">
        <v>14</v>
      </c>
      <c r="D8" s="228">
        <f>'TREASURY BILLS'!K98</f>
        <v>671783699</v>
      </c>
      <c r="E8" s="228">
        <f>'TREASURY BILLS'!L98</f>
        <v>2576</v>
      </c>
      <c r="F8" s="229"/>
      <c r="G8" s="229"/>
      <c r="H8" s="229"/>
      <c r="I8" s="150"/>
      <c r="J8" s="149"/>
      <c r="K8" s="151"/>
      <c r="L8" s="152"/>
    </row>
    <row r="9" spans="1:12" ht="15.6">
      <c r="A9" s="226"/>
      <c r="B9" s="226"/>
      <c r="C9" s="232" t="s">
        <v>15</v>
      </c>
      <c r="D9" s="228">
        <f>'CORPORATE  '!G32</f>
        <v>2200000</v>
      </c>
      <c r="E9" s="228">
        <f>'CORPORATE  '!H32</f>
        <v>3</v>
      </c>
      <c r="F9" s="229"/>
      <c r="G9" s="229"/>
      <c r="H9" s="229"/>
      <c r="I9" s="150"/>
      <c r="J9" s="149"/>
      <c r="K9" s="151"/>
      <c r="L9" s="152"/>
    </row>
    <row r="10" spans="1:12" ht="15.6">
      <c r="A10" s="226"/>
      <c r="B10" s="226"/>
      <c r="C10" s="232" t="s">
        <v>16</v>
      </c>
      <c r="D10" s="228">
        <f>'SELL BUY BACK TRADES- GOG BONDS'!G44</f>
        <v>101830208</v>
      </c>
      <c r="E10" s="228">
        <f>'SELL BUY BACK TRADES- GOG BONDS'!H44</f>
        <v>14</v>
      </c>
      <c r="F10" s="229"/>
      <c r="G10" s="229"/>
      <c r="H10" s="230"/>
      <c r="I10" s="150"/>
      <c r="J10" s="149"/>
      <c r="K10" s="151"/>
      <c r="L10" s="152"/>
    </row>
    <row r="11" spans="1:12" ht="15.6">
      <c r="A11" s="226"/>
      <c r="B11" s="226"/>
      <c r="C11" s="232"/>
      <c r="D11" s="233">
        <f>SUM(D5:D10)</f>
        <v>1103529410</v>
      </c>
      <c r="E11" s="233">
        <f>SUM(E5:E10)</f>
        <v>2619</v>
      </c>
      <c r="F11" s="229"/>
      <c r="G11" s="229"/>
      <c r="H11" s="230"/>
      <c r="I11" s="150"/>
      <c r="J11" s="149"/>
      <c r="K11" s="151"/>
      <c r="L11" s="152"/>
    </row>
    <row r="12" spans="1:12" ht="15.6">
      <c r="A12" s="226"/>
      <c r="B12" s="226"/>
      <c r="C12" s="232"/>
      <c r="D12" s="234"/>
      <c r="E12" s="234"/>
      <c r="F12" s="229"/>
      <c r="G12" s="229"/>
      <c r="H12" s="230"/>
      <c r="I12" s="150"/>
      <c r="J12" s="149"/>
      <c r="K12" s="151"/>
      <c r="L12" s="152"/>
    </row>
    <row r="13" spans="1:12" ht="15.6">
      <c r="A13" s="226"/>
      <c r="B13" s="226"/>
      <c r="C13" s="232"/>
      <c r="D13" s="235"/>
      <c r="E13" s="235"/>
      <c r="F13" s="229"/>
      <c r="G13" s="229"/>
      <c r="H13" s="230"/>
      <c r="I13" s="150"/>
      <c r="J13" s="149"/>
      <c r="K13" s="151"/>
      <c r="L13" s="152"/>
    </row>
    <row r="14" spans="1:12" ht="15.6">
      <c r="A14" s="226"/>
      <c r="B14" s="226"/>
      <c r="C14" s="154"/>
      <c r="D14" s="155"/>
      <c r="E14" s="155"/>
      <c r="F14" s="34"/>
      <c r="G14" s="34"/>
      <c r="H14" s="138"/>
      <c r="I14" s="150"/>
      <c r="J14" s="149"/>
      <c r="K14" s="151"/>
      <c r="L14" s="152"/>
    </row>
    <row r="15" spans="1:12" ht="15.6">
      <c r="A15" s="226" t="s">
        <v>17</v>
      </c>
      <c r="B15" s="226" t="s">
        <v>18</v>
      </c>
      <c r="C15" s="227" t="s">
        <v>11</v>
      </c>
      <c r="D15" s="236">
        <f>'NEW GOG NOTES AND BONDS'!H5</f>
        <v>1105000</v>
      </c>
      <c r="E15" s="236">
        <f>'NEW GOG NOTES AND BONDS'!I5</f>
        <v>3</v>
      </c>
      <c r="F15" s="227" t="str">
        <f>'NEW GOG NOTES AND BONDS'!C5</f>
        <v>GOG-BD-29/03/33-A6155-2001-12.50</v>
      </c>
      <c r="G15" s="238">
        <f>'NEW GOG NOTES AND BONDS'!F5</f>
        <v>12.37</v>
      </c>
      <c r="H15" s="146">
        <f>'NEW GOG NOTES AND BONDS'!G5</f>
        <v>100.552835</v>
      </c>
      <c r="I15" s="150"/>
      <c r="J15" s="149"/>
      <c r="K15" s="151"/>
      <c r="L15" s="152"/>
    </row>
    <row r="16" spans="1:12" ht="15.6">
      <c r="A16" s="226"/>
      <c r="B16" s="226"/>
      <c r="C16" s="227" t="s">
        <v>19</v>
      </c>
      <c r="D16" s="240">
        <v>108443336</v>
      </c>
      <c r="E16" s="241">
        <v>3</v>
      </c>
      <c r="F16" s="242" t="s">
        <v>73</v>
      </c>
      <c r="G16" s="243">
        <f>'DDEP BONDS'!F14</f>
        <v>14.6</v>
      </c>
      <c r="H16" s="146">
        <f>'DDEP BONDS'!G14</f>
        <v>79.600519599999998</v>
      </c>
      <c r="I16" s="137"/>
      <c r="J16" s="149"/>
      <c r="K16" s="151"/>
      <c r="L16" s="152"/>
    </row>
    <row r="17" spans="1:12" ht="15.6">
      <c r="A17" s="226"/>
      <c r="B17" s="226"/>
      <c r="C17" s="232" t="s">
        <v>13</v>
      </c>
      <c r="D17" s="240"/>
      <c r="E17" s="240"/>
      <c r="F17" s="242"/>
      <c r="G17" s="243"/>
      <c r="H17" s="239"/>
      <c r="I17" s="150"/>
      <c r="J17" s="149"/>
      <c r="K17" s="151"/>
      <c r="L17" s="152"/>
    </row>
    <row r="18" spans="1:12" ht="15.6">
      <c r="A18" s="226"/>
      <c r="B18" s="226"/>
      <c r="C18" s="156" t="s">
        <v>14</v>
      </c>
      <c r="D18" s="244">
        <v>187479417</v>
      </c>
      <c r="E18" s="281">
        <v>26</v>
      </c>
      <c r="F18" s="245" t="s">
        <v>377</v>
      </c>
      <c r="G18" s="145">
        <f>'TREASURY BILLS'!J75</f>
        <v>8.3523051948051954</v>
      </c>
      <c r="H18" s="146">
        <f>'TREASURY BILLS'!I75</f>
        <v>95.444668565289561</v>
      </c>
      <c r="I18" s="150"/>
      <c r="J18" s="149"/>
      <c r="K18" s="151"/>
      <c r="L18" s="152"/>
    </row>
    <row r="19" spans="1:12" ht="15.6">
      <c r="A19" s="226"/>
      <c r="B19" s="149"/>
      <c r="C19" s="156" t="s">
        <v>15</v>
      </c>
      <c r="D19" s="236">
        <v>1700000</v>
      </c>
      <c r="E19" s="237">
        <v>2</v>
      </c>
      <c r="F19" s="149" t="s">
        <v>213</v>
      </c>
      <c r="G19" s="135"/>
      <c r="H19" s="246"/>
      <c r="I19" s="150"/>
      <c r="J19" s="149"/>
      <c r="K19" s="151"/>
      <c r="L19" s="152"/>
    </row>
    <row r="20" spans="1:12" ht="15.6">
      <c r="A20" s="226"/>
      <c r="B20" s="226"/>
      <c r="C20" s="227" t="s">
        <v>20</v>
      </c>
      <c r="D20" s="244">
        <f>'SELL BUY BACK TRADES- GOG BONDS'!G23</f>
        <v>50000000</v>
      </c>
      <c r="E20" s="244">
        <f>'SELL BUY BACK TRADES- GOG BONDS'!H23</f>
        <v>1</v>
      </c>
      <c r="F20" s="245" t="str">
        <f>'SELL BUY BACK TRADES- GOG BONDS'!C23</f>
        <v>GOG-BD-03/02/37-A6153-1838-9.85</v>
      </c>
      <c r="G20" s="243">
        <f>'SELL BUY BACK TRADES- GOG BONDS'!E23</f>
        <v>14.75</v>
      </c>
      <c r="H20" s="146">
        <f>'SELL BUY BACK TRADES- GOG BONDS'!F23</f>
        <v>74.184950154285701</v>
      </c>
      <c r="I20" s="150"/>
      <c r="J20" s="149"/>
      <c r="K20" s="151"/>
      <c r="L20" s="152"/>
    </row>
    <row r="21" spans="1:12" ht="15.6">
      <c r="A21" s="226"/>
      <c r="B21" s="226"/>
      <c r="C21" s="232"/>
      <c r="D21" s="235"/>
      <c r="E21" s="235"/>
      <c r="F21" s="229"/>
      <c r="G21" s="229"/>
      <c r="H21" s="230"/>
      <c r="I21" s="150"/>
      <c r="J21" s="149"/>
      <c r="K21" s="151"/>
      <c r="L21" s="152"/>
    </row>
    <row r="22" spans="1:12" ht="15.6">
      <c r="A22" s="226"/>
      <c r="B22" s="226"/>
      <c r="C22" s="232"/>
      <c r="D22" s="247"/>
      <c r="E22" s="235"/>
      <c r="F22" s="229"/>
      <c r="G22" s="229"/>
      <c r="H22" s="230"/>
      <c r="I22" s="150"/>
      <c r="J22" s="149"/>
      <c r="K22" s="151"/>
      <c r="L22" s="152"/>
    </row>
    <row r="23" spans="1:12" ht="15.6">
      <c r="A23" s="226"/>
      <c r="B23" s="226"/>
      <c r="C23" s="232"/>
      <c r="D23" s="247"/>
      <c r="E23" s="235"/>
      <c r="F23" s="229"/>
      <c r="G23" s="229"/>
      <c r="H23" s="230"/>
      <c r="I23" s="150"/>
      <c r="J23" s="149"/>
      <c r="K23" s="151"/>
      <c r="L23" s="152"/>
    </row>
    <row r="24" spans="1:12" ht="15.6">
      <c r="A24" s="226"/>
      <c r="B24" s="226"/>
      <c r="C24" s="232"/>
      <c r="D24" s="235"/>
      <c r="E24" s="235"/>
      <c r="F24" s="229"/>
      <c r="G24" s="229"/>
      <c r="H24" s="230"/>
      <c r="I24" s="150"/>
      <c r="J24" s="149"/>
      <c r="K24" s="151"/>
      <c r="L24" s="152"/>
    </row>
    <row r="25" spans="1:12" ht="15.6">
      <c r="A25" s="226"/>
      <c r="B25" s="226"/>
      <c r="C25" s="232"/>
      <c r="D25" s="235"/>
      <c r="E25" s="235"/>
      <c r="F25" s="229"/>
      <c r="G25" s="229"/>
      <c r="H25" s="230"/>
      <c r="I25" s="150"/>
      <c r="J25" s="149"/>
      <c r="K25" s="151"/>
      <c r="L25" s="152"/>
    </row>
    <row r="26" spans="1:12">
      <c r="A26" s="157"/>
      <c r="B26" s="157"/>
      <c r="C26" s="157"/>
      <c r="D26" s="157"/>
      <c r="E26" s="157"/>
      <c r="F26" s="149"/>
      <c r="G26" s="158"/>
      <c r="H26" s="159"/>
      <c r="I26" s="149"/>
      <c r="J26" s="149"/>
      <c r="K26" s="149"/>
      <c r="L26" s="149"/>
    </row>
    <row r="28" spans="1:12" ht="15.6">
      <c r="A28" s="149"/>
      <c r="B28" s="41"/>
      <c r="C28" s="149"/>
      <c r="D28" s="149"/>
      <c r="E28" s="149"/>
      <c r="F28" s="149"/>
      <c r="G28" s="149"/>
      <c r="H28" s="149"/>
      <c r="I28" s="149"/>
      <c r="J28" s="149"/>
      <c r="K28" s="149"/>
      <c r="L28" s="149"/>
    </row>
  </sheetData>
  <mergeCells count="2">
    <mergeCell ref="C1:H1"/>
    <mergeCell ref="A3:H3"/>
  </mergeCells>
  <pageMargins left="0.7" right="0.7" top="0.75" bottom="0.75" header="0.3" footer="0.3"/>
  <pageSetup scale="52" orientation="landscape"/>
  <headerFooter>
    <oddHeader>&amp;R&amp;"Arial"&amp;12&amp;KB16D0A Document Classification: Public&amp;1#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417C-86E1-4C16-B8E2-B2D62048FD3B}">
  <dimension ref="A1:O89"/>
  <sheetViews>
    <sheetView topLeftCell="B1" workbookViewId="0">
      <selection activeCell="F6" sqref="F6"/>
    </sheetView>
  </sheetViews>
  <sheetFormatPr defaultColWidth="9.33203125" defaultRowHeight="15.6"/>
  <cols>
    <col min="1" max="1" width="6.33203125" style="1" customWidth="1"/>
    <col min="2" max="2" width="18.33203125" style="1" customWidth="1"/>
    <col min="3" max="3" width="41.33203125" style="1" customWidth="1"/>
    <col min="4" max="4" width="25.33203125" style="1" customWidth="1"/>
    <col min="5" max="5" width="13.33203125" style="1" customWidth="1"/>
    <col min="6" max="7" width="14.33203125" style="1" customWidth="1"/>
    <col min="8" max="8" width="19" style="15" customWidth="1"/>
    <col min="9" max="9" width="20.33203125" style="1" customWidth="1"/>
    <col min="10" max="11" width="14.33203125" style="1" customWidth="1"/>
    <col min="12" max="12" width="15.33203125" style="1" customWidth="1"/>
    <col min="13" max="13" width="14.33203125" style="16" customWidth="1"/>
    <col min="14" max="14" width="13" style="1" hidden="1" customWidth="1"/>
    <col min="15" max="16" width="11.33203125" style="1" customWidth="1"/>
    <col min="17" max="27" width="9.33203125" style="1"/>
    <col min="28" max="28" width="11.33203125" style="1" customWidth="1"/>
    <col min="29" max="16384" width="9.33203125" style="1"/>
  </cols>
  <sheetData>
    <row r="1" spans="1:15" ht="65.849999999999994" customHeight="1">
      <c r="A1" s="3"/>
      <c r="B1" s="3"/>
      <c r="C1" s="273"/>
      <c r="D1" s="273"/>
      <c r="E1" s="273"/>
      <c r="F1" s="273"/>
      <c r="G1" s="273"/>
      <c r="H1" s="273"/>
      <c r="I1" s="3"/>
      <c r="J1" s="3"/>
      <c r="K1" s="3"/>
      <c r="L1" s="3"/>
      <c r="M1" s="3"/>
      <c r="N1" s="3"/>
      <c r="O1" s="149"/>
    </row>
    <row r="2" spans="1:15" ht="36.6" customHeight="1">
      <c r="A2" s="274" t="s">
        <v>21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3"/>
      <c r="O2" s="149"/>
    </row>
    <row r="3" spans="1:15" ht="19.5" customHeight="1" thickBot="1">
      <c r="A3" s="111"/>
      <c r="B3" s="112" t="str">
        <f>SUMMARY!A3</f>
        <v>Date: Wednesday, 05 August, 2026</v>
      </c>
      <c r="C3" s="6"/>
      <c r="D3" s="5"/>
      <c r="E3" s="5"/>
      <c r="F3" s="5"/>
      <c r="G3" s="5"/>
      <c r="H3" s="4"/>
      <c r="I3" s="5"/>
      <c r="J3" s="5"/>
      <c r="K3" s="5"/>
      <c r="L3" s="5"/>
      <c r="M3" s="5"/>
      <c r="N3" s="5"/>
      <c r="O3" s="149"/>
    </row>
    <row r="4" spans="1:15" ht="73.5" customHeight="1">
      <c r="A4" s="17" t="s">
        <v>22</v>
      </c>
      <c r="B4" s="18" t="s">
        <v>23</v>
      </c>
      <c r="C4" s="18" t="s">
        <v>24</v>
      </c>
      <c r="D4" s="19" t="s">
        <v>25</v>
      </c>
      <c r="E4" s="113" t="s">
        <v>26</v>
      </c>
      <c r="F4" s="20" t="s">
        <v>27</v>
      </c>
      <c r="G4" s="21" t="s">
        <v>28</v>
      </c>
      <c r="H4" s="22" t="s">
        <v>29</v>
      </c>
      <c r="I4" s="23" t="s">
        <v>30</v>
      </c>
      <c r="J4" s="58" t="s">
        <v>31</v>
      </c>
      <c r="K4" s="124" t="s">
        <v>32</v>
      </c>
      <c r="L4" s="23" t="s">
        <v>33</v>
      </c>
      <c r="M4" s="43" t="s">
        <v>34</v>
      </c>
      <c r="N4" s="44" t="s">
        <v>35</v>
      </c>
      <c r="O4" s="149"/>
    </row>
    <row r="5" spans="1:15" ht="16.2" thickBot="1">
      <c r="A5" s="248">
        <v>1</v>
      </c>
      <c r="B5" s="7" t="s">
        <v>36</v>
      </c>
      <c r="C5" s="114" t="s">
        <v>37</v>
      </c>
      <c r="D5" s="115" t="s">
        <v>38</v>
      </c>
      <c r="E5" s="249">
        <v>12.2</v>
      </c>
      <c r="F5" s="249">
        <v>12.37</v>
      </c>
      <c r="G5" s="249">
        <v>100.552835</v>
      </c>
      <c r="H5" s="250">
        <v>1105000</v>
      </c>
      <c r="I5" s="251">
        <v>3</v>
      </c>
      <c r="J5" s="229">
        <v>11.847428117841668</v>
      </c>
      <c r="K5" s="229">
        <v>12.468788233803322</v>
      </c>
      <c r="L5" s="252">
        <f ca="1">M5-TODAY()</f>
        <v>2428</v>
      </c>
      <c r="M5" s="253">
        <v>48667</v>
      </c>
      <c r="N5" s="254"/>
      <c r="O5" s="160"/>
    </row>
    <row r="6" spans="1:15" ht="15.75" customHeight="1" thickBot="1">
      <c r="A6" s="161"/>
      <c r="B6" s="162"/>
      <c r="C6" s="12" t="s">
        <v>39</v>
      </c>
      <c r="D6" s="163"/>
      <c r="E6" s="121"/>
      <c r="F6" s="122"/>
      <c r="G6" s="46"/>
      <c r="H6" s="123">
        <f>SUM(H5:H5)</f>
        <v>1105000</v>
      </c>
      <c r="I6" s="123">
        <f>SUM(I5:I5)</f>
        <v>3</v>
      </c>
      <c r="J6" s="127"/>
      <c r="K6" s="128"/>
      <c r="L6" s="149"/>
      <c r="M6" s="164"/>
      <c r="N6" s="149"/>
      <c r="O6" s="149"/>
    </row>
    <row r="7" spans="1:15">
      <c r="A7" s="149"/>
      <c r="B7" s="41" t="s">
        <v>40</v>
      </c>
      <c r="C7" s="149"/>
      <c r="D7" s="149"/>
      <c r="E7" s="149"/>
      <c r="F7" s="149"/>
      <c r="G7" s="149"/>
      <c r="H7" s="159"/>
      <c r="I7" s="13"/>
      <c r="J7" s="149"/>
      <c r="K7" s="149"/>
      <c r="L7" s="149"/>
      <c r="M7" s="164"/>
      <c r="N7" s="149"/>
      <c r="O7" s="149"/>
    </row>
    <row r="8" spans="1:15">
      <c r="A8" s="149"/>
      <c r="B8" s="41"/>
      <c r="C8" s="149"/>
      <c r="D8" s="149"/>
      <c r="E8" s="149"/>
      <c r="F8" s="149"/>
      <c r="G8" s="149"/>
      <c r="H8" s="159"/>
      <c r="I8" s="13"/>
      <c r="J8" s="149"/>
      <c r="K8" s="149"/>
      <c r="L8" s="149"/>
      <c r="M8" s="164"/>
      <c r="N8" s="149"/>
      <c r="O8" s="149"/>
    </row>
    <row r="9" spans="1:15">
      <c r="A9" s="149"/>
      <c r="B9" s="41"/>
      <c r="C9" s="149"/>
      <c r="D9" s="149"/>
      <c r="E9" s="149"/>
      <c r="F9" s="149"/>
      <c r="G9" s="149"/>
      <c r="H9" s="159"/>
      <c r="I9" s="13"/>
      <c r="J9" s="149"/>
      <c r="K9" s="149"/>
      <c r="L9" s="149"/>
      <c r="M9" s="164"/>
      <c r="N9" s="149"/>
      <c r="O9" s="149"/>
    </row>
    <row r="10" spans="1:15">
      <c r="A10" s="2" t="s">
        <v>41</v>
      </c>
      <c r="B10" s="2"/>
      <c r="C10" s="2"/>
      <c r="D10" s="2"/>
      <c r="E10" s="2"/>
      <c r="F10" s="149"/>
      <c r="G10" s="149"/>
      <c r="H10" s="14"/>
      <c r="I10" s="14"/>
      <c r="J10" s="149"/>
      <c r="K10" s="149"/>
      <c r="L10" s="149"/>
      <c r="M10" s="158"/>
      <c r="N10" s="165"/>
      <c r="O10" s="149"/>
    </row>
    <row r="11" spans="1:15">
      <c r="A11" s="157" t="s">
        <v>42</v>
      </c>
      <c r="B11" s="157"/>
      <c r="C11" s="157"/>
      <c r="D11" s="157"/>
      <c r="E11" s="149"/>
      <c r="F11" s="158"/>
      <c r="G11" s="159"/>
      <c r="H11" s="13"/>
      <c r="I11" s="166"/>
      <c r="J11" s="166"/>
      <c r="K11" s="149"/>
      <c r="L11" s="149"/>
      <c r="M11" s="160"/>
      <c r="N11" s="165"/>
      <c r="O11" s="149"/>
    </row>
    <row r="12" spans="1:15">
      <c r="A12" s="157" t="s">
        <v>43</v>
      </c>
      <c r="B12" s="157"/>
      <c r="C12" s="157"/>
      <c r="D12" s="157"/>
      <c r="E12" s="149"/>
      <c r="F12" s="158"/>
      <c r="G12" s="159"/>
      <c r="H12" s="13"/>
      <c r="I12" s="149"/>
      <c r="J12" s="149"/>
      <c r="K12" s="149"/>
      <c r="L12" s="149"/>
      <c r="M12" s="160"/>
      <c r="N12" s="149"/>
      <c r="O12" s="149"/>
    </row>
    <row r="13" spans="1:15">
      <c r="A13" s="157"/>
      <c r="B13" s="157"/>
      <c r="C13" s="157"/>
      <c r="D13" s="157"/>
      <c r="E13" s="149"/>
      <c r="F13" s="158"/>
      <c r="G13" s="159"/>
      <c r="H13" s="13"/>
      <c r="I13" s="149"/>
      <c r="J13" s="149"/>
      <c r="K13" s="149"/>
      <c r="L13" s="149"/>
      <c r="M13" s="160"/>
      <c r="N13" s="149"/>
      <c r="O13" s="149"/>
    </row>
    <row r="14" spans="1:15">
      <c r="A14" s="157"/>
      <c r="B14" s="157"/>
      <c r="C14" s="157"/>
      <c r="D14" s="157"/>
      <c r="E14" s="149"/>
      <c r="F14" s="149"/>
      <c r="G14" s="149"/>
      <c r="H14" s="13"/>
      <c r="I14" s="149"/>
      <c r="J14" s="149"/>
      <c r="K14" s="149"/>
      <c r="L14" s="149"/>
      <c r="M14" s="164"/>
      <c r="N14" s="149"/>
      <c r="O14" s="149"/>
    </row>
    <row r="15" spans="1:15">
      <c r="A15" s="157"/>
      <c r="B15" s="278"/>
      <c r="C15" s="278"/>
      <c r="D15" s="157"/>
      <c r="E15" s="149"/>
      <c r="F15" s="149"/>
      <c r="G15" s="149"/>
      <c r="H15" s="13"/>
      <c r="I15" s="149"/>
      <c r="J15" s="149"/>
      <c r="K15" s="149"/>
      <c r="L15" s="149"/>
      <c r="M15" s="164"/>
      <c r="N15" s="149"/>
      <c r="O15" s="149"/>
    </row>
    <row r="16" spans="1:15">
      <c r="A16" s="149"/>
      <c r="B16" s="149"/>
      <c r="C16" s="149"/>
      <c r="D16" s="149"/>
      <c r="E16" s="149"/>
      <c r="F16" s="149"/>
      <c r="G16" s="149"/>
      <c r="H16" s="13"/>
      <c r="I16" s="149"/>
      <c r="J16" s="149"/>
      <c r="K16" s="149"/>
      <c r="L16" s="149"/>
      <c r="M16" s="164"/>
      <c r="N16" s="149"/>
      <c r="O16" s="149"/>
    </row>
    <row r="17" spans="8:8">
      <c r="H17" s="13"/>
    </row>
    <row r="18" spans="8:8">
      <c r="H18" s="13"/>
    </row>
    <row r="19" spans="8:8">
      <c r="H19" s="13"/>
    </row>
    <row r="20" spans="8:8">
      <c r="H20" s="13"/>
    </row>
    <row r="21" spans="8:8">
      <c r="H21" s="13"/>
    </row>
    <row r="22" spans="8:8">
      <c r="H22" s="13"/>
    </row>
    <row r="23" spans="8:8">
      <c r="H23" s="13"/>
    </row>
    <row r="24" spans="8:8">
      <c r="H24" s="13"/>
    </row>
    <row r="25" spans="8:8">
      <c r="H25" s="13"/>
    </row>
    <row r="26" spans="8:8">
      <c r="H26" s="13"/>
    </row>
    <row r="27" spans="8:8">
      <c r="H27" s="13"/>
    </row>
    <row r="28" spans="8:8">
      <c r="H28" s="13"/>
    </row>
    <row r="29" spans="8:8">
      <c r="H29" s="13"/>
    </row>
    <row r="30" spans="8:8">
      <c r="H30" s="13"/>
    </row>
    <row r="31" spans="8:8">
      <c r="H31" s="13"/>
    </row>
    <row r="32" spans="8:8">
      <c r="H32" s="13"/>
    </row>
    <row r="33" spans="8:8">
      <c r="H33" s="13"/>
    </row>
    <row r="34" spans="8:8">
      <c r="H34" s="13"/>
    </row>
    <row r="35" spans="8:8">
      <c r="H35" s="13"/>
    </row>
    <row r="36" spans="8:8">
      <c r="H36" s="13"/>
    </row>
    <row r="37" spans="8:8">
      <c r="H37" s="13"/>
    </row>
    <row r="38" spans="8:8">
      <c r="H38" s="13"/>
    </row>
    <row r="39" spans="8:8">
      <c r="H39" s="13"/>
    </row>
    <row r="40" spans="8:8">
      <c r="H40" s="13"/>
    </row>
    <row r="41" spans="8:8">
      <c r="H41" s="13"/>
    </row>
    <row r="42" spans="8:8">
      <c r="H42" s="13"/>
    </row>
    <row r="43" spans="8:8">
      <c r="H43" s="13"/>
    </row>
    <row r="44" spans="8:8">
      <c r="H44" s="13"/>
    </row>
    <row r="45" spans="8:8">
      <c r="H45" s="13"/>
    </row>
    <row r="46" spans="8:8">
      <c r="H46" s="13"/>
    </row>
    <row r="47" spans="8:8">
      <c r="H47" s="13"/>
    </row>
    <row r="48" spans="8:8">
      <c r="H48" s="13"/>
    </row>
    <row r="49" spans="8:8">
      <c r="H49" s="13"/>
    </row>
    <row r="50" spans="8:8">
      <c r="H50" s="13"/>
    </row>
    <row r="51" spans="8:8">
      <c r="H51" s="13"/>
    </row>
    <row r="52" spans="8:8">
      <c r="H52" s="13"/>
    </row>
    <row r="53" spans="8:8">
      <c r="H53" s="13"/>
    </row>
    <row r="54" spans="8:8">
      <c r="H54" s="13"/>
    </row>
    <row r="55" spans="8:8">
      <c r="H55" s="13"/>
    </row>
    <row r="56" spans="8:8">
      <c r="H56" s="13"/>
    </row>
    <row r="57" spans="8:8">
      <c r="H57" s="13"/>
    </row>
    <row r="58" spans="8:8">
      <c r="H58" s="13"/>
    </row>
    <row r="59" spans="8:8">
      <c r="H59" s="13"/>
    </row>
    <row r="60" spans="8:8">
      <c r="H60" s="13"/>
    </row>
    <row r="61" spans="8:8">
      <c r="H61" s="13"/>
    </row>
    <row r="62" spans="8:8">
      <c r="H62" s="13"/>
    </row>
    <row r="63" spans="8:8">
      <c r="H63" s="13"/>
    </row>
    <row r="64" spans="8:8">
      <c r="H64" s="13"/>
    </row>
    <row r="65" spans="8:8">
      <c r="H65" s="13"/>
    </row>
    <row r="66" spans="8:8">
      <c r="H66" s="13"/>
    </row>
    <row r="67" spans="8:8">
      <c r="H67" s="13"/>
    </row>
    <row r="68" spans="8:8">
      <c r="H68" s="13"/>
    </row>
    <row r="69" spans="8:8">
      <c r="H69" s="13"/>
    </row>
    <row r="70" spans="8:8">
      <c r="H70" s="13"/>
    </row>
    <row r="71" spans="8:8">
      <c r="H71" s="13"/>
    </row>
    <row r="72" spans="8:8">
      <c r="H72" s="13"/>
    </row>
    <row r="73" spans="8:8">
      <c r="H73" s="13"/>
    </row>
    <row r="74" spans="8:8">
      <c r="H74" s="13"/>
    </row>
    <row r="75" spans="8:8">
      <c r="H75" s="13"/>
    </row>
    <row r="76" spans="8:8">
      <c r="H76" s="13"/>
    </row>
    <row r="77" spans="8:8">
      <c r="H77" s="13"/>
    </row>
    <row r="78" spans="8:8">
      <c r="H78" s="13"/>
    </row>
    <row r="79" spans="8:8">
      <c r="H79" s="13"/>
    </row>
    <row r="80" spans="8:8">
      <c r="H80" s="13"/>
    </row>
    <row r="81" spans="8:8">
      <c r="H81" s="13"/>
    </row>
    <row r="82" spans="8:8">
      <c r="H82" s="13"/>
    </row>
    <row r="83" spans="8:8">
      <c r="H83" s="13"/>
    </row>
    <row r="84" spans="8:8">
      <c r="H84" s="13"/>
    </row>
    <row r="85" spans="8:8">
      <c r="H85" s="13"/>
    </row>
    <row r="86" spans="8:8">
      <c r="H86" s="13"/>
    </row>
    <row r="87" spans="8:8">
      <c r="H87" s="13"/>
    </row>
    <row r="88" spans="8:8">
      <c r="H88" s="13"/>
    </row>
    <row r="89" spans="8:8">
      <c r="H89" s="13"/>
    </row>
  </sheetData>
  <mergeCells count="3">
    <mergeCell ref="C1:H1"/>
    <mergeCell ref="A2:M2"/>
    <mergeCell ref="B15:C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27"/>
  <sheetViews>
    <sheetView zoomScaleNormal="100" workbookViewId="0">
      <selection activeCell="F15" sqref="F15"/>
    </sheetView>
  </sheetViews>
  <sheetFormatPr defaultColWidth="9.33203125" defaultRowHeight="15.6"/>
  <cols>
    <col min="1" max="1" width="11.88671875" style="1" customWidth="1"/>
    <col min="2" max="2" width="24.33203125" style="1" customWidth="1"/>
    <col min="3" max="3" width="41.33203125" style="1" customWidth="1"/>
    <col min="4" max="4" width="25.33203125" style="1" customWidth="1"/>
    <col min="5" max="5" width="13.33203125" style="1" customWidth="1"/>
    <col min="6" max="6" width="14.33203125" style="1" customWidth="1"/>
    <col min="7" max="7" width="18" style="1" customWidth="1"/>
    <col min="8" max="8" width="24.33203125" style="15" customWidth="1"/>
    <col min="9" max="9" width="20.33203125" style="1" customWidth="1"/>
    <col min="10" max="10" width="14.33203125" style="1" customWidth="1"/>
    <col min="11" max="11" width="11.33203125" style="1" customWidth="1"/>
    <col min="12" max="12" width="15.33203125" style="1" customWidth="1"/>
    <col min="13" max="13" width="14.33203125" style="16" customWidth="1"/>
    <col min="14" max="14" width="5.33203125" style="1" hidden="1" customWidth="1"/>
    <col min="15" max="15" width="17" style="1" customWidth="1"/>
    <col min="16" max="28" width="9.33203125" style="1"/>
    <col min="29" max="29" width="11.33203125" style="1" customWidth="1"/>
    <col min="30" max="37" width="9.33203125" style="1"/>
    <col min="38" max="38" width="11.33203125" style="1" customWidth="1"/>
    <col min="39" max="16384" width="9.33203125" style="1"/>
  </cols>
  <sheetData>
    <row r="1" spans="1:38" ht="65.849999999999994" customHeight="1">
      <c r="A1" s="3"/>
      <c r="B1" s="3"/>
      <c r="C1" s="273"/>
      <c r="D1" s="273"/>
      <c r="E1" s="273"/>
      <c r="F1" s="273"/>
      <c r="G1" s="273"/>
      <c r="H1" s="273"/>
      <c r="I1" s="3"/>
      <c r="J1" s="3"/>
      <c r="K1" s="3"/>
      <c r="L1" s="3"/>
      <c r="M1" s="3"/>
      <c r="N1" s="3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</row>
    <row r="2" spans="1:38" ht="36.6" customHeight="1">
      <c r="A2" s="274" t="s">
        <v>21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3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</row>
    <row r="3" spans="1:38" ht="19.5" customHeight="1">
      <c r="A3" s="129"/>
      <c r="B3" s="112" t="str">
        <f>SUMMARY!A3</f>
        <v>Date: Wednesday, 05 August, 2026</v>
      </c>
      <c r="C3" s="6"/>
      <c r="D3" s="5"/>
      <c r="E3" s="5"/>
      <c r="F3" s="5"/>
      <c r="G3" s="5"/>
      <c r="H3" s="4"/>
      <c r="I3" s="5"/>
      <c r="J3" s="5"/>
      <c r="K3" s="5"/>
      <c r="L3" s="5"/>
      <c r="M3" s="5"/>
      <c r="N3" s="5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</row>
    <row r="4" spans="1:38" ht="73.5" customHeight="1">
      <c r="A4" s="17" t="s">
        <v>44</v>
      </c>
      <c r="B4" s="18" t="s">
        <v>23</v>
      </c>
      <c r="C4" s="18" t="s">
        <v>24</v>
      </c>
      <c r="D4" s="19" t="s">
        <v>25</v>
      </c>
      <c r="E4" s="113" t="s">
        <v>26</v>
      </c>
      <c r="F4" s="20" t="s">
        <v>27</v>
      </c>
      <c r="G4" s="21" t="s">
        <v>28</v>
      </c>
      <c r="H4" s="22" t="s">
        <v>29</v>
      </c>
      <c r="I4" s="23" t="s">
        <v>30</v>
      </c>
      <c r="J4" s="58" t="s">
        <v>31</v>
      </c>
      <c r="K4" s="124" t="s">
        <v>32</v>
      </c>
      <c r="L4" s="23" t="s">
        <v>33</v>
      </c>
      <c r="M4" s="43" t="s">
        <v>34</v>
      </c>
      <c r="N4" s="44" t="s">
        <v>35</v>
      </c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</row>
    <row r="5" spans="1:38">
      <c r="A5" s="248">
        <v>1</v>
      </c>
      <c r="B5" s="7" t="s">
        <v>45</v>
      </c>
      <c r="C5" s="167" t="s">
        <v>46</v>
      </c>
      <c r="D5" s="168" t="s">
        <v>47</v>
      </c>
      <c r="E5" s="25">
        <v>11.71</v>
      </c>
      <c r="F5" s="25">
        <v>11.71</v>
      </c>
      <c r="G5" s="25">
        <v>98.339123090000001</v>
      </c>
      <c r="H5" s="255"/>
      <c r="I5" s="37"/>
      <c r="J5" s="34">
        <v>12.578456720244164</v>
      </c>
      <c r="K5" s="229">
        <v>12.578456720244164</v>
      </c>
      <c r="L5" s="252">
        <f t="shared" ref="L5:L20" ca="1" si="0">M5-TODAY()</f>
        <v>377</v>
      </c>
      <c r="M5" s="256">
        <v>46616</v>
      </c>
      <c r="N5" s="254"/>
      <c r="O5" s="152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60"/>
    </row>
    <row r="6" spans="1:38">
      <c r="A6" s="248">
        <v>2</v>
      </c>
      <c r="B6" s="7" t="s">
        <v>48</v>
      </c>
      <c r="C6" s="167" t="s">
        <v>49</v>
      </c>
      <c r="D6" s="168" t="s">
        <v>50</v>
      </c>
      <c r="E6" s="249">
        <v>12.9</v>
      </c>
      <c r="F6" s="249">
        <v>12.9</v>
      </c>
      <c r="G6" s="249">
        <v>94.720305449999998</v>
      </c>
      <c r="H6" s="255"/>
      <c r="I6" s="37"/>
      <c r="J6" s="229">
        <v>14.208600000000001</v>
      </c>
      <c r="K6" s="229">
        <v>14.208600000000001</v>
      </c>
      <c r="L6" s="252">
        <f t="shared" ca="1" si="0"/>
        <v>741</v>
      </c>
      <c r="M6" s="256">
        <v>46980</v>
      </c>
      <c r="N6" s="254"/>
      <c r="O6" s="16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</row>
    <row r="7" spans="1:38">
      <c r="A7" s="248">
        <v>3</v>
      </c>
      <c r="B7" s="7" t="s">
        <v>51</v>
      </c>
      <c r="C7" s="167" t="s">
        <v>52</v>
      </c>
      <c r="D7" s="148" t="s">
        <v>53</v>
      </c>
      <c r="E7" s="229">
        <v>15.64</v>
      </c>
      <c r="F7" s="229">
        <v>15.64</v>
      </c>
      <c r="G7" s="229">
        <v>99.376364314940702</v>
      </c>
      <c r="H7" s="255"/>
      <c r="I7" s="251"/>
      <c r="J7" s="229">
        <v>17.537546042217603</v>
      </c>
      <c r="K7" s="229">
        <v>17.537546042217603</v>
      </c>
      <c r="L7" s="252">
        <f t="shared" ca="1" si="0"/>
        <v>377</v>
      </c>
      <c r="M7" s="256">
        <v>46616</v>
      </c>
      <c r="N7" s="254"/>
      <c r="O7" s="16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</row>
    <row r="8" spans="1:38">
      <c r="A8" s="248">
        <v>4</v>
      </c>
      <c r="B8" s="7" t="s">
        <v>54</v>
      </c>
      <c r="C8" s="167" t="s">
        <v>55</v>
      </c>
      <c r="D8" s="148" t="s">
        <v>56</v>
      </c>
      <c r="E8" s="229">
        <v>15.58</v>
      </c>
      <c r="F8" s="229">
        <v>15.58</v>
      </c>
      <c r="G8" s="229">
        <v>98.994334848246396</v>
      </c>
      <c r="H8" s="250"/>
      <c r="I8" s="257"/>
      <c r="J8" s="229">
        <v>11.893000000000001</v>
      </c>
      <c r="K8" s="229">
        <v>15</v>
      </c>
      <c r="L8" s="252">
        <f t="shared" ca="1" si="0"/>
        <v>741</v>
      </c>
      <c r="M8" s="256">
        <v>46980</v>
      </c>
      <c r="N8" s="254"/>
      <c r="O8" s="16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</row>
    <row r="9" spans="1:38">
      <c r="A9" s="248">
        <v>5</v>
      </c>
      <c r="B9" s="7" t="s">
        <v>57</v>
      </c>
      <c r="C9" s="167" t="s">
        <v>58</v>
      </c>
      <c r="D9" s="148" t="s">
        <v>59</v>
      </c>
      <c r="E9" s="229">
        <v>10.72</v>
      </c>
      <c r="F9" s="229">
        <v>11.18</v>
      </c>
      <c r="G9" s="229">
        <v>98.556943149999995</v>
      </c>
      <c r="H9" s="255">
        <v>56194650</v>
      </c>
      <c r="I9" s="251">
        <v>3</v>
      </c>
      <c r="J9" s="229">
        <v>10.610799999999999</v>
      </c>
      <c r="K9" s="229">
        <v>11.5684</v>
      </c>
      <c r="L9" s="252">
        <f t="shared" ca="1" si="0"/>
        <v>195</v>
      </c>
      <c r="M9" s="256">
        <v>46434</v>
      </c>
      <c r="N9" s="254"/>
      <c r="O9" s="16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</row>
    <row r="10" spans="1:38">
      <c r="A10" s="248">
        <v>6</v>
      </c>
      <c r="B10" s="7" t="s">
        <v>60</v>
      </c>
      <c r="C10" s="167" t="s">
        <v>61</v>
      </c>
      <c r="D10" s="148" t="s">
        <v>62</v>
      </c>
      <c r="E10" s="258">
        <v>13.59</v>
      </c>
      <c r="F10" s="258">
        <v>13.59</v>
      </c>
      <c r="G10" s="258">
        <v>93.122962950000002</v>
      </c>
      <c r="H10" s="255"/>
      <c r="I10" s="251"/>
      <c r="J10" s="229">
        <v>11.007</v>
      </c>
      <c r="K10" s="229">
        <v>11.007</v>
      </c>
      <c r="L10" s="252">
        <f t="shared" ca="1" si="0"/>
        <v>559</v>
      </c>
      <c r="M10" s="256">
        <v>46798</v>
      </c>
      <c r="N10" s="254"/>
      <c r="O10" s="152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</row>
    <row r="11" spans="1:38">
      <c r="A11" s="248">
        <v>7</v>
      </c>
      <c r="B11" s="7" t="s">
        <v>63</v>
      </c>
      <c r="C11" s="167" t="s">
        <v>64</v>
      </c>
      <c r="D11" s="148" t="s">
        <v>65</v>
      </c>
      <c r="E11" s="229">
        <v>13.37</v>
      </c>
      <c r="F11" s="229">
        <v>14</v>
      </c>
      <c r="G11" s="229">
        <v>88.890816971428507</v>
      </c>
      <c r="H11" s="255">
        <v>15000000</v>
      </c>
      <c r="I11" s="251">
        <v>1</v>
      </c>
      <c r="J11" s="229">
        <v>12.0124</v>
      </c>
      <c r="K11" s="229">
        <v>16.0472</v>
      </c>
      <c r="L11" s="252">
        <f t="shared" ca="1" si="0"/>
        <v>923</v>
      </c>
      <c r="M11" s="256">
        <v>47162</v>
      </c>
      <c r="N11" s="254"/>
      <c r="O11" s="16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</row>
    <row r="12" spans="1:38">
      <c r="A12" s="248">
        <v>8</v>
      </c>
      <c r="B12" s="7" t="s">
        <v>66</v>
      </c>
      <c r="C12" s="167" t="s">
        <v>67</v>
      </c>
      <c r="D12" s="148" t="s">
        <v>68</v>
      </c>
      <c r="E12" s="258">
        <v>15.06</v>
      </c>
      <c r="F12" s="258">
        <v>14.79</v>
      </c>
      <c r="G12" s="249">
        <v>83.946465549999999</v>
      </c>
      <c r="H12" s="255">
        <v>71972517</v>
      </c>
      <c r="I12" s="251">
        <v>14</v>
      </c>
      <c r="J12" s="229">
        <v>15.02</v>
      </c>
      <c r="K12" s="229">
        <v>15.3254</v>
      </c>
      <c r="L12" s="252">
        <f t="shared" ca="1" si="0"/>
        <v>1287</v>
      </c>
      <c r="M12" s="256">
        <v>47526</v>
      </c>
      <c r="N12" s="254"/>
      <c r="O12" s="16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</row>
    <row r="13" spans="1:38">
      <c r="A13" s="248">
        <v>9</v>
      </c>
      <c r="B13" s="7" t="s">
        <v>69</v>
      </c>
      <c r="C13" s="167" t="s">
        <v>70</v>
      </c>
      <c r="D13" s="148" t="s">
        <v>71</v>
      </c>
      <c r="E13" s="258">
        <v>14.06</v>
      </c>
      <c r="F13" s="258">
        <v>15.24</v>
      </c>
      <c r="G13" s="249">
        <v>79.923753169999998</v>
      </c>
      <c r="H13" s="255">
        <v>75000000</v>
      </c>
      <c r="I13" s="251">
        <v>2</v>
      </c>
      <c r="J13" s="229">
        <v>13.6747</v>
      </c>
      <c r="K13" s="229">
        <v>13.6854</v>
      </c>
      <c r="L13" s="252">
        <f t="shared" ca="1" si="0"/>
        <v>1651</v>
      </c>
      <c r="M13" s="256">
        <v>47890</v>
      </c>
      <c r="N13" s="254"/>
      <c r="O13" s="16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</row>
    <row r="14" spans="1:38">
      <c r="A14" s="248">
        <v>10</v>
      </c>
      <c r="B14" s="7" t="s">
        <v>72</v>
      </c>
      <c r="C14" s="167" t="s">
        <v>73</v>
      </c>
      <c r="D14" s="148" t="s">
        <v>74</v>
      </c>
      <c r="E14" s="258">
        <v>14.98</v>
      </c>
      <c r="F14" s="258">
        <v>14.6</v>
      </c>
      <c r="G14" s="249">
        <v>79.600519599999998</v>
      </c>
      <c r="H14" s="255">
        <v>108443336</v>
      </c>
      <c r="I14" s="251">
        <v>3</v>
      </c>
      <c r="J14" s="229">
        <v>14.4145</v>
      </c>
      <c r="K14" s="229">
        <v>14.865600000000001</v>
      </c>
      <c r="L14" s="252">
        <f t="shared" ca="1" si="0"/>
        <v>2015</v>
      </c>
      <c r="M14" s="256">
        <v>48254</v>
      </c>
      <c r="N14" s="254"/>
      <c r="O14" s="16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</row>
    <row r="15" spans="1:38">
      <c r="A15" s="248">
        <v>11</v>
      </c>
      <c r="B15" s="7" t="s">
        <v>75</v>
      </c>
      <c r="C15" s="167" t="s">
        <v>76</v>
      </c>
      <c r="D15" s="148" t="s">
        <v>77</v>
      </c>
      <c r="E15" s="258">
        <v>14.65</v>
      </c>
      <c r="F15" s="258">
        <v>14.66</v>
      </c>
      <c r="G15" s="229">
        <v>77.724183085564505</v>
      </c>
      <c r="H15" s="255"/>
      <c r="I15" s="251"/>
      <c r="J15" s="229">
        <v>13.761212539563065</v>
      </c>
      <c r="K15" s="229">
        <v>13.761212539563065</v>
      </c>
      <c r="L15" s="252">
        <f t="shared" ca="1" si="0"/>
        <v>2379</v>
      </c>
      <c r="M15" s="256">
        <v>48618</v>
      </c>
      <c r="N15" s="254"/>
      <c r="O15" s="16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</row>
    <row r="16" spans="1:38">
      <c r="A16" s="248">
        <v>12</v>
      </c>
      <c r="B16" s="7" t="s">
        <v>78</v>
      </c>
      <c r="C16" s="167" t="s">
        <v>79</v>
      </c>
      <c r="D16" s="148" t="s">
        <v>80</v>
      </c>
      <c r="E16" s="258">
        <v>15.66</v>
      </c>
      <c r="F16" s="258">
        <v>15.27</v>
      </c>
      <c r="G16" s="249">
        <v>74.205967689999994</v>
      </c>
      <c r="H16" s="255"/>
      <c r="I16" s="251"/>
      <c r="J16" s="229">
        <v>15.619300000000001</v>
      </c>
      <c r="K16" s="229">
        <v>15.619300000000001</v>
      </c>
      <c r="L16" s="252">
        <f t="shared" ca="1" si="0"/>
        <v>2743</v>
      </c>
      <c r="M16" s="256">
        <v>48982</v>
      </c>
      <c r="N16" s="254"/>
      <c r="O16" s="16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</row>
    <row r="17" spans="1:15">
      <c r="A17" s="248">
        <v>13</v>
      </c>
      <c r="B17" s="7" t="s">
        <v>81</v>
      </c>
      <c r="C17" s="167" t="s">
        <v>82</v>
      </c>
      <c r="D17" s="148" t="s">
        <v>83</v>
      </c>
      <c r="E17" s="258">
        <v>15.9</v>
      </c>
      <c r="F17" s="258">
        <v>15.9</v>
      </c>
      <c r="G17" s="229">
        <v>70.822228802197799</v>
      </c>
      <c r="H17" s="255"/>
      <c r="I17" s="251"/>
      <c r="J17" s="229">
        <v>16.015799999999999</v>
      </c>
      <c r="K17" s="229">
        <v>16.015799999999999</v>
      </c>
      <c r="L17" s="252">
        <f t="shared" ca="1" si="0"/>
        <v>3107</v>
      </c>
      <c r="M17" s="256">
        <v>49346</v>
      </c>
      <c r="N17" s="254"/>
      <c r="O17" s="169"/>
    </row>
    <row r="18" spans="1:15">
      <c r="A18" s="248">
        <v>14</v>
      </c>
      <c r="B18" s="7" t="s">
        <v>84</v>
      </c>
      <c r="C18" s="167" t="s">
        <v>85</v>
      </c>
      <c r="D18" s="148" t="s">
        <v>86</v>
      </c>
      <c r="E18" s="229">
        <v>15.77</v>
      </c>
      <c r="F18" s="229">
        <v>15.77</v>
      </c>
      <c r="G18" s="249">
        <v>70.477391483516399</v>
      </c>
      <c r="H18" s="255"/>
      <c r="I18" s="251"/>
      <c r="J18" s="229">
        <v>16.014399999999998</v>
      </c>
      <c r="K18" s="229">
        <v>16.014399999999998</v>
      </c>
      <c r="L18" s="252">
        <f t="shared" ca="1" si="0"/>
        <v>3471</v>
      </c>
      <c r="M18" s="256">
        <v>49710</v>
      </c>
      <c r="N18" s="254"/>
      <c r="O18" s="169"/>
    </row>
    <row r="19" spans="1:15">
      <c r="A19" s="248">
        <v>15</v>
      </c>
      <c r="B19" s="7" t="s">
        <v>87</v>
      </c>
      <c r="C19" s="167" t="s">
        <v>88</v>
      </c>
      <c r="D19" s="148" t="s">
        <v>89</v>
      </c>
      <c r="E19" s="249">
        <v>15.55</v>
      </c>
      <c r="F19" s="249">
        <v>15.57</v>
      </c>
      <c r="G19" s="249">
        <v>70.815642762033207</v>
      </c>
      <c r="H19" s="255"/>
      <c r="I19" s="251"/>
      <c r="J19" s="229">
        <v>14.758993044355861</v>
      </c>
      <c r="K19" s="229">
        <v>14.758993044355861</v>
      </c>
      <c r="L19" s="252">
        <f t="shared" ca="1" si="0"/>
        <v>3835</v>
      </c>
      <c r="M19" s="256">
        <v>50074</v>
      </c>
      <c r="N19" s="254"/>
      <c r="O19" s="169"/>
    </row>
    <row r="20" spans="1:15">
      <c r="A20" s="248">
        <v>16</v>
      </c>
      <c r="B20" s="11" t="s">
        <v>90</v>
      </c>
      <c r="C20" s="170" t="s">
        <v>91</v>
      </c>
      <c r="D20" s="171" t="s">
        <v>92</v>
      </c>
      <c r="E20" s="35">
        <v>15.33</v>
      </c>
      <c r="F20" s="35">
        <v>15.44</v>
      </c>
      <c r="G20" s="249">
        <v>71.097663569999995</v>
      </c>
      <c r="H20" s="255"/>
      <c r="I20" s="251"/>
      <c r="J20" s="229">
        <v>12.0053</v>
      </c>
      <c r="K20" s="229">
        <v>16.013100000000001</v>
      </c>
      <c r="L20" s="252">
        <f t="shared" ca="1" si="0"/>
        <v>4199</v>
      </c>
      <c r="M20" s="172">
        <v>50438</v>
      </c>
      <c r="N20" s="254"/>
      <c r="O20" s="169"/>
    </row>
    <row r="21" spans="1:15">
      <c r="A21" s="10"/>
      <c r="B21" s="11"/>
      <c r="C21" s="170"/>
      <c r="D21" s="171"/>
      <c r="E21" s="34"/>
      <c r="F21" s="34"/>
      <c r="G21" s="35"/>
      <c r="H21" s="36"/>
      <c r="I21" s="37"/>
      <c r="J21" s="34"/>
      <c r="K21" s="34"/>
      <c r="L21" s="252"/>
      <c r="M21" s="172"/>
      <c r="N21" s="160"/>
      <c r="O21" s="169"/>
    </row>
    <row r="22" spans="1:15">
      <c r="A22" s="10"/>
      <c r="B22" s="11"/>
      <c r="C22" s="170"/>
      <c r="D22" s="171"/>
      <c r="E22" s="34"/>
      <c r="F22" s="34"/>
      <c r="G22" s="35"/>
      <c r="H22" s="36"/>
      <c r="I22" s="37"/>
      <c r="J22" s="34"/>
      <c r="K22" s="34"/>
      <c r="L22" s="252"/>
      <c r="M22" s="172"/>
      <c r="N22" s="160"/>
      <c r="O22" s="169"/>
    </row>
    <row r="23" spans="1:15">
      <c r="A23" s="10"/>
      <c r="B23" s="11"/>
      <c r="C23" s="170"/>
      <c r="D23" s="171"/>
      <c r="E23" s="34"/>
      <c r="F23" s="34"/>
      <c r="G23" s="35"/>
      <c r="H23" s="36"/>
      <c r="I23" s="37"/>
      <c r="J23" s="34"/>
      <c r="K23" s="34"/>
      <c r="L23" s="252"/>
      <c r="M23" s="172"/>
      <c r="N23" s="160"/>
      <c r="O23" s="169"/>
    </row>
    <row r="24" spans="1:15">
      <c r="A24" s="10">
        <v>1</v>
      </c>
      <c r="B24" s="11" t="s">
        <v>93</v>
      </c>
      <c r="C24" s="170" t="s">
        <v>94</v>
      </c>
      <c r="D24" s="171" t="s">
        <v>95</v>
      </c>
      <c r="E24" s="34">
        <v>32.756700000000002</v>
      </c>
      <c r="F24" s="34">
        <v>32.756700000000002</v>
      </c>
      <c r="G24" s="35">
        <v>48.715400000000002</v>
      </c>
      <c r="H24" s="36"/>
      <c r="I24" s="37"/>
      <c r="J24" s="34">
        <v>32.756700000000002</v>
      </c>
      <c r="K24" s="34">
        <v>32.756700000000002</v>
      </c>
      <c r="L24" s="252">
        <f t="shared" ref="L24:L32" ca="1" si="1">M24-TODAY()</f>
        <v>482</v>
      </c>
      <c r="M24" s="172">
        <v>46721</v>
      </c>
      <c r="N24" s="160"/>
      <c r="O24" s="169"/>
    </row>
    <row r="25" spans="1:15">
      <c r="A25" s="10">
        <v>2</v>
      </c>
      <c r="B25" s="11" t="s">
        <v>96</v>
      </c>
      <c r="C25" s="170" t="s">
        <v>97</v>
      </c>
      <c r="D25" s="171" t="s">
        <v>98</v>
      </c>
      <c r="E25" s="34"/>
      <c r="F25" s="34"/>
      <c r="G25" s="35"/>
      <c r="H25" s="36"/>
      <c r="I25" s="37"/>
      <c r="J25" s="34"/>
      <c r="K25" s="34"/>
      <c r="L25" s="252">
        <f t="shared" ca="1" si="1"/>
        <v>487</v>
      </c>
      <c r="M25" s="172">
        <v>46726</v>
      </c>
      <c r="N25" s="160"/>
      <c r="O25" s="169"/>
    </row>
    <row r="26" spans="1:15">
      <c r="A26" s="10">
        <v>3</v>
      </c>
      <c r="B26" s="11" t="s">
        <v>99</v>
      </c>
      <c r="C26" s="170" t="s">
        <v>100</v>
      </c>
      <c r="D26" s="171" t="s">
        <v>101</v>
      </c>
      <c r="E26" s="34">
        <v>13.268767857996764</v>
      </c>
      <c r="F26" s="34">
        <v>13.268767857996764</v>
      </c>
      <c r="G26" s="35">
        <v>86.808860180066503</v>
      </c>
      <c r="H26" s="36"/>
      <c r="I26" s="37"/>
      <c r="J26" s="34">
        <v>14.642765239767943</v>
      </c>
      <c r="K26" s="34">
        <v>14.675197295715181</v>
      </c>
      <c r="L26" s="252">
        <f t="shared" ca="1" si="1"/>
        <v>1210</v>
      </c>
      <c r="M26" s="172">
        <v>47449</v>
      </c>
      <c r="N26" s="160"/>
      <c r="O26" s="169"/>
    </row>
    <row r="27" spans="1:15">
      <c r="A27" s="10">
        <v>4</v>
      </c>
      <c r="B27" s="11" t="s">
        <v>102</v>
      </c>
      <c r="C27" s="170" t="s">
        <v>103</v>
      </c>
      <c r="D27" s="171" t="s">
        <v>104</v>
      </c>
      <c r="E27" s="34">
        <v>17.264433802737202</v>
      </c>
      <c r="F27" s="34">
        <v>17.264433802737202</v>
      </c>
      <c r="G27" s="35">
        <v>71.332549189487196</v>
      </c>
      <c r="H27" s="36"/>
      <c r="I27" s="37"/>
      <c r="J27" s="34">
        <v>22.454135092251398</v>
      </c>
      <c r="K27" s="34">
        <v>22.454135092251398</v>
      </c>
      <c r="L27" s="252">
        <f t="shared" ca="1" si="1"/>
        <v>1945</v>
      </c>
      <c r="M27" s="172">
        <v>48184</v>
      </c>
      <c r="N27" s="160"/>
      <c r="O27" s="169"/>
    </row>
    <row r="28" spans="1:15">
      <c r="A28" s="10">
        <v>5</v>
      </c>
      <c r="B28" s="11" t="s">
        <v>105</v>
      </c>
      <c r="C28" s="170" t="s">
        <v>106</v>
      </c>
      <c r="D28" s="171" t="s">
        <v>107</v>
      </c>
      <c r="E28" s="34"/>
      <c r="F28" s="34"/>
      <c r="G28" s="35"/>
      <c r="H28" s="36"/>
      <c r="I28" s="37"/>
      <c r="J28" s="34"/>
      <c r="K28" s="34"/>
      <c r="L28" s="252">
        <f t="shared" ca="1" si="1"/>
        <v>2673</v>
      </c>
      <c r="M28" s="172">
        <v>48912</v>
      </c>
      <c r="N28" s="160"/>
      <c r="O28" s="169"/>
    </row>
    <row r="29" spans="1:15">
      <c r="A29" s="10">
        <v>6</v>
      </c>
      <c r="B29" s="11" t="s">
        <v>108</v>
      </c>
      <c r="C29" s="170" t="s">
        <v>109</v>
      </c>
      <c r="D29" s="171" t="s">
        <v>110</v>
      </c>
      <c r="E29" s="34">
        <v>16.267711190558899</v>
      </c>
      <c r="F29" s="34">
        <v>16.267711190558899</v>
      </c>
      <c r="G29" s="35">
        <v>67.960057257307696</v>
      </c>
      <c r="H29" s="36"/>
      <c r="I29" s="37"/>
      <c r="J29" s="34">
        <v>22.3000850673819</v>
      </c>
      <c r="K29" s="34">
        <v>22.3000850673819</v>
      </c>
      <c r="L29" s="252">
        <f t="shared" ca="1" si="1"/>
        <v>3401</v>
      </c>
      <c r="M29" s="172">
        <v>49640</v>
      </c>
      <c r="N29" s="160"/>
      <c r="O29" s="169"/>
    </row>
    <row r="30" spans="1:15">
      <c r="A30" s="10">
        <v>7</v>
      </c>
      <c r="B30" s="11" t="s">
        <v>111</v>
      </c>
      <c r="C30" s="170" t="s">
        <v>112</v>
      </c>
      <c r="D30" s="171" t="s">
        <v>113</v>
      </c>
      <c r="E30" s="34"/>
      <c r="F30" s="34"/>
      <c r="G30" s="35"/>
      <c r="H30" s="36"/>
      <c r="I30" s="37"/>
      <c r="J30" s="34"/>
      <c r="K30" s="34"/>
      <c r="L30" s="252">
        <f t="shared" ca="1" si="1"/>
        <v>3765</v>
      </c>
      <c r="M30" s="172">
        <v>50004</v>
      </c>
      <c r="N30" s="160"/>
      <c r="O30" s="169"/>
    </row>
    <row r="31" spans="1:15">
      <c r="A31" s="10">
        <v>8</v>
      </c>
      <c r="B31" s="11" t="s">
        <v>114</v>
      </c>
      <c r="C31" s="170" t="s">
        <v>115</v>
      </c>
      <c r="D31" s="171" t="s">
        <v>116</v>
      </c>
      <c r="E31" s="34"/>
      <c r="F31" s="34"/>
      <c r="G31" s="35"/>
      <c r="H31" s="36"/>
      <c r="I31" s="37"/>
      <c r="J31" s="34"/>
      <c r="K31" s="34"/>
      <c r="L31" s="252">
        <f t="shared" ca="1" si="1"/>
        <v>4129</v>
      </c>
      <c r="M31" s="172">
        <v>50368</v>
      </c>
      <c r="N31" s="160"/>
      <c r="O31" s="169"/>
    </row>
    <row r="32" spans="1:15">
      <c r="A32" s="10">
        <v>9</v>
      </c>
      <c r="B32" s="11" t="s">
        <v>117</v>
      </c>
      <c r="C32" s="232" t="s">
        <v>118</v>
      </c>
      <c r="D32" s="171" t="s">
        <v>119</v>
      </c>
      <c r="E32" s="34"/>
      <c r="F32" s="34"/>
      <c r="G32" s="35"/>
      <c r="H32" s="36"/>
      <c r="I32" s="37"/>
      <c r="J32" s="34"/>
      <c r="K32" s="34"/>
      <c r="L32" s="252">
        <f t="shared" ca="1" si="1"/>
        <v>853</v>
      </c>
      <c r="M32" s="172">
        <v>47092</v>
      </c>
      <c r="N32" s="160"/>
      <c r="O32" s="169"/>
    </row>
    <row r="33" spans="1:15">
      <c r="A33" s="38"/>
      <c r="B33" s="226"/>
      <c r="C33" s="149"/>
      <c r="D33" s="235"/>
      <c r="E33" s="34"/>
      <c r="F33" s="34"/>
      <c r="G33" s="35"/>
      <c r="H33" s="36"/>
      <c r="I33" s="37"/>
      <c r="J33" s="34"/>
      <c r="K33" s="34"/>
      <c r="L33" s="252"/>
      <c r="M33" s="172"/>
      <c r="N33" s="160"/>
      <c r="O33" s="169"/>
    </row>
    <row r="34" spans="1:15">
      <c r="A34" s="38"/>
      <c r="B34" s="226"/>
      <c r="C34" s="170"/>
      <c r="D34" s="171"/>
      <c r="E34" s="34"/>
      <c r="F34" s="34"/>
      <c r="G34" s="35"/>
      <c r="H34" s="36"/>
      <c r="I34" s="37"/>
      <c r="J34" s="34"/>
      <c r="K34" s="34"/>
      <c r="L34" s="252"/>
      <c r="M34" s="172"/>
      <c r="N34" s="160"/>
      <c r="O34" s="169"/>
    </row>
    <row r="35" spans="1:15">
      <c r="A35" s="38"/>
      <c r="B35" s="226"/>
      <c r="C35" s="232"/>
      <c r="D35" s="235"/>
      <c r="E35" s="229"/>
      <c r="F35" s="229"/>
      <c r="G35" s="249"/>
      <c r="H35" s="255"/>
      <c r="I35" s="251"/>
      <c r="J35" s="229"/>
      <c r="K35" s="229"/>
      <c r="L35" s="252"/>
      <c r="M35" s="256"/>
      <c r="N35" s="160"/>
      <c r="O35" s="169"/>
    </row>
    <row r="36" spans="1:15">
      <c r="A36" s="38">
        <v>1</v>
      </c>
      <c r="B36" s="226" t="s">
        <v>120</v>
      </c>
      <c r="C36" s="232" t="s">
        <v>121</v>
      </c>
      <c r="D36" s="235" t="s">
        <v>122</v>
      </c>
      <c r="E36" s="229">
        <v>6.0215440552818098</v>
      </c>
      <c r="F36" s="229">
        <v>6.0215440552818098</v>
      </c>
      <c r="G36" s="249">
        <v>95.445806647654393</v>
      </c>
      <c r="H36" s="255"/>
      <c r="I36" s="251"/>
      <c r="J36" s="229">
        <v>6.0215439802037931</v>
      </c>
      <c r="K36" s="229">
        <v>6.0215540283585707</v>
      </c>
      <c r="L36" s="252">
        <f ca="1">M36-TODAY()</f>
        <v>395</v>
      </c>
      <c r="M36" s="256">
        <v>46634</v>
      </c>
      <c r="N36" s="160"/>
      <c r="O36" s="169"/>
    </row>
    <row r="37" spans="1:15">
      <c r="A37" s="38">
        <v>2</v>
      </c>
      <c r="B37" s="226" t="s">
        <v>123</v>
      </c>
      <c r="C37" s="232" t="s">
        <v>124</v>
      </c>
      <c r="D37" s="235" t="s">
        <v>125</v>
      </c>
      <c r="E37" s="229">
        <v>6.0144696785471501</v>
      </c>
      <c r="F37" s="229">
        <v>6.0144696785471501</v>
      </c>
      <c r="G37" s="249">
        <v>93.7279079276055</v>
      </c>
      <c r="H37" s="255"/>
      <c r="I37" s="251"/>
      <c r="J37" s="229">
        <v>6.0144696116762919</v>
      </c>
      <c r="K37" s="229">
        <v>6.0144830457030372</v>
      </c>
      <c r="L37" s="252">
        <f ca="1">M37-TODAY()</f>
        <v>761</v>
      </c>
      <c r="M37" s="256">
        <v>47000</v>
      </c>
      <c r="N37" s="160"/>
      <c r="O37" s="169"/>
    </row>
    <row r="38" spans="1:15">
      <c r="A38" s="38">
        <v>3</v>
      </c>
      <c r="B38" s="226" t="s">
        <v>126</v>
      </c>
      <c r="C38" s="232" t="s">
        <v>127</v>
      </c>
      <c r="D38" s="235" t="s">
        <v>128</v>
      </c>
      <c r="E38" s="229">
        <v>5.2771999999999997</v>
      </c>
      <c r="F38" s="229">
        <v>5.2771999999999997</v>
      </c>
      <c r="G38" s="249">
        <v>97.304400000000001</v>
      </c>
      <c r="H38" s="255"/>
      <c r="I38" s="251"/>
      <c r="J38" s="229">
        <v>4.5293000000000001</v>
      </c>
      <c r="K38" s="229">
        <v>6.0338000000000003</v>
      </c>
      <c r="L38" s="252">
        <f ca="1">M38-TODAY()</f>
        <v>395</v>
      </c>
      <c r="M38" s="256">
        <v>46634</v>
      </c>
      <c r="N38" s="160"/>
      <c r="O38" s="169"/>
    </row>
    <row r="39" spans="1:15">
      <c r="A39" s="38">
        <v>4</v>
      </c>
      <c r="B39" s="226" t="s">
        <v>129</v>
      </c>
      <c r="C39" s="232" t="s">
        <v>130</v>
      </c>
      <c r="D39" s="235" t="s">
        <v>131</v>
      </c>
      <c r="E39" s="229">
        <v>5.7689000000000004</v>
      </c>
      <c r="F39" s="229">
        <v>5.7689000000000004</v>
      </c>
      <c r="G39" s="249">
        <v>95.0565</v>
      </c>
      <c r="H39" s="255"/>
      <c r="I39" s="251"/>
      <c r="J39" s="229">
        <v>5.5191999999999997</v>
      </c>
      <c r="K39" s="229">
        <v>6.0201000000000002</v>
      </c>
      <c r="L39" s="252">
        <f ca="1">M39-TODAY()</f>
        <v>761</v>
      </c>
      <c r="M39" s="256">
        <v>47000</v>
      </c>
      <c r="N39" s="160"/>
      <c r="O39" s="169"/>
    </row>
    <row r="40" spans="1:15">
      <c r="A40" s="173"/>
      <c r="B40" s="39" t="s">
        <v>39</v>
      </c>
      <c r="C40" s="174"/>
      <c r="D40" s="175"/>
      <c r="E40" s="163"/>
      <c r="F40" s="163"/>
      <c r="G40" s="163"/>
      <c r="H40" s="40">
        <f>SUM(H5:H39)</f>
        <v>326610503</v>
      </c>
      <c r="I40" s="40">
        <f>SUM(I5:I39)</f>
        <v>23</v>
      </c>
      <c r="J40" s="163"/>
      <c r="K40" s="176"/>
      <c r="L40" s="174"/>
      <c r="M40" s="177"/>
      <c r="N40" s="149"/>
      <c r="O40" s="149"/>
    </row>
    <row r="41" spans="1:15">
      <c r="A41" s="149"/>
      <c r="B41" s="41" t="s">
        <v>40</v>
      </c>
      <c r="C41" s="149"/>
      <c r="D41" s="149"/>
      <c r="E41" s="149"/>
      <c r="F41" s="149"/>
      <c r="G41" s="149"/>
      <c r="I41" s="149"/>
      <c r="J41" s="149"/>
      <c r="K41" s="149"/>
      <c r="L41" s="149"/>
      <c r="M41" s="164"/>
      <c r="N41" s="149"/>
      <c r="O41" s="149"/>
    </row>
    <row r="47" spans="1:15">
      <c r="A47" s="149"/>
      <c r="B47" s="149"/>
      <c r="C47" s="149"/>
      <c r="D47" s="149"/>
      <c r="E47" s="149"/>
      <c r="F47" s="149"/>
      <c r="G47" s="149"/>
      <c r="H47" s="159"/>
      <c r="I47" s="13"/>
      <c r="J47" s="149"/>
      <c r="K47" s="149"/>
      <c r="L47" s="149"/>
      <c r="M47" s="164"/>
      <c r="N47" s="149"/>
      <c r="O47" s="149"/>
    </row>
    <row r="48" spans="1:15">
      <c r="A48" s="2" t="s">
        <v>41</v>
      </c>
      <c r="B48" s="2"/>
      <c r="C48" s="2"/>
      <c r="D48" s="2"/>
      <c r="E48" s="2"/>
      <c r="F48" s="149"/>
      <c r="G48" s="149"/>
      <c r="H48" s="14"/>
      <c r="I48" s="14"/>
      <c r="J48" s="149"/>
      <c r="K48" s="149"/>
      <c r="L48" s="149"/>
      <c r="M48" s="158"/>
      <c r="N48" s="165"/>
      <c r="O48" s="149"/>
    </row>
    <row r="49" spans="1:14">
      <c r="A49" s="157" t="s">
        <v>42</v>
      </c>
      <c r="B49" s="157"/>
      <c r="C49" s="157"/>
      <c r="D49" s="157"/>
      <c r="E49" s="149"/>
      <c r="F49" s="158"/>
      <c r="G49" s="159"/>
      <c r="H49" s="13"/>
      <c r="I49" s="166"/>
      <c r="J49" s="166"/>
      <c r="K49" s="149"/>
      <c r="L49" s="149"/>
      <c r="M49" s="160"/>
      <c r="N49" s="165"/>
    </row>
    <row r="50" spans="1:14">
      <c r="A50" s="157" t="s">
        <v>132</v>
      </c>
      <c r="B50" s="157" t="s">
        <v>133</v>
      </c>
      <c r="C50" s="157"/>
      <c r="D50" s="157"/>
      <c r="E50" s="149"/>
      <c r="F50" s="158"/>
      <c r="G50" s="159"/>
      <c r="H50" s="13"/>
      <c r="I50" s="149"/>
      <c r="J50" s="149"/>
      <c r="K50" s="149"/>
      <c r="L50" s="149"/>
      <c r="M50" s="160"/>
      <c r="N50" s="149"/>
    </row>
    <row r="51" spans="1:14">
      <c r="A51" s="157" t="s">
        <v>43</v>
      </c>
      <c r="B51" s="157"/>
      <c r="C51" s="157"/>
      <c r="D51" s="157"/>
      <c r="E51" s="149"/>
      <c r="F51" s="158"/>
      <c r="G51" s="159"/>
      <c r="H51" s="13"/>
      <c r="I51" s="149"/>
      <c r="J51" s="149"/>
      <c r="K51" s="149"/>
      <c r="L51" s="149"/>
      <c r="M51" s="160"/>
      <c r="N51" s="149"/>
    </row>
    <row r="52" spans="1:14">
      <c r="A52" s="157"/>
      <c r="B52" s="157"/>
      <c r="C52" s="157"/>
      <c r="D52" s="157"/>
      <c r="E52" s="149"/>
      <c r="F52" s="149"/>
      <c r="G52" s="149"/>
      <c r="H52" s="13"/>
      <c r="I52" s="149"/>
      <c r="J52" s="149"/>
      <c r="K52" s="149"/>
      <c r="L52" s="149"/>
      <c r="M52" s="164"/>
      <c r="N52" s="149"/>
    </row>
    <row r="53" spans="1:14">
      <c r="A53" s="157"/>
      <c r="B53" s="41"/>
      <c r="C53" s="41"/>
      <c r="D53" s="157"/>
      <c r="E53" s="149"/>
      <c r="F53" s="149"/>
      <c r="G53" s="149"/>
      <c r="H53" s="13"/>
      <c r="I53" s="149"/>
      <c r="J53" s="149"/>
      <c r="K53" s="149"/>
      <c r="L53" s="149"/>
      <c r="M53" s="164"/>
      <c r="N53" s="149"/>
    </row>
    <row r="54" spans="1:14">
      <c r="A54" s="149"/>
      <c r="B54" s="149"/>
      <c r="C54" s="149"/>
      <c r="D54" s="149"/>
      <c r="E54" s="149"/>
      <c r="F54" s="149"/>
      <c r="G54" s="149"/>
      <c r="H54" s="13"/>
      <c r="I54" s="149"/>
      <c r="J54" s="149"/>
      <c r="K54" s="149"/>
      <c r="L54" s="149"/>
      <c r="M54" s="164"/>
      <c r="N54" s="149"/>
    </row>
    <row r="55" spans="1:14">
      <c r="A55" s="149"/>
      <c r="B55" s="149"/>
      <c r="C55" s="149"/>
      <c r="D55" s="149"/>
      <c r="E55" s="149"/>
      <c r="F55" s="149"/>
      <c r="G55" s="149"/>
      <c r="H55" s="13"/>
      <c r="I55" s="149"/>
      <c r="J55" s="149"/>
      <c r="K55" s="149"/>
      <c r="L55" s="149"/>
      <c r="M55" s="164"/>
      <c r="N55" s="149"/>
    </row>
    <row r="56" spans="1:14">
      <c r="A56" s="149"/>
      <c r="B56" s="149"/>
      <c r="C56" s="149"/>
      <c r="D56" s="149"/>
      <c r="E56" s="149"/>
      <c r="F56" s="149"/>
      <c r="G56" s="149"/>
      <c r="H56" s="13"/>
      <c r="I56" s="149"/>
      <c r="J56" s="149"/>
      <c r="K56" s="149"/>
      <c r="L56" s="149"/>
      <c r="M56" s="164"/>
      <c r="N56" s="149"/>
    </row>
    <row r="57" spans="1:14">
      <c r="A57" s="149"/>
      <c r="B57" s="149"/>
      <c r="C57" s="149"/>
      <c r="D57" s="149"/>
      <c r="E57" s="149"/>
      <c r="F57" s="149"/>
      <c r="G57" s="149"/>
      <c r="H57" s="13"/>
      <c r="I57" s="149"/>
      <c r="J57" s="149"/>
      <c r="K57" s="149"/>
      <c r="L57" s="149"/>
      <c r="M57" s="164"/>
      <c r="N57" s="149"/>
    </row>
    <row r="58" spans="1:14">
      <c r="A58" s="149"/>
      <c r="B58" s="149"/>
      <c r="C58" s="149"/>
      <c r="D58" s="149"/>
      <c r="E58" s="149"/>
      <c r="F58" s="149"/>
      <c r="G58" s="149"/>
      <c r="H58" s="13"/>
      <c r="I58" s="149"/>
      <c r="J58" s="149"/>
      <c r="K58" s="149"/>
      <c r="L58" s="149"/>
      <c r="M58" s="164"/>
      <c r="N58" s="149"/>
    </row>
    <row r="59" spans="1:14">
      <c r="A59" s="149"/>
      <c r="B59" s="149"/>
      <c r="C59" s="149"/>
      <c r="D59" s="149"/>
      <c r="E59" s="149"/>
      <c r="F59" s="149"/>
      <c r="G59" s="149"/>
      <c r="H59" s="13"/>
      <c r="I59" s="149"/>
      <c r="J59" s="149"/>
      <c r="K59" s="149"/>
      <c r="L59" s="149"/>
      <c r="M59" s="164"/>
      <c r="N59" s="149"/>
    </row>
    <row r="60" spans="1:14">
      <c r="A60" s="149"/>
      <c r="B60" s="149"/>
      <c r="C60" s="149"/>
      <c r="D60" s="149"/>
      <c r="E60" s="149"/>
      <c r="F60" s="149"/>
      <c r="G60" s="149"/>
      <c r="H60" s="13"/>
      <c r="I60" s="149"/>
      <c r="J60" s="149"/>
      <c r="K60" s="149"/>
      <c r="L60" s="149"/>
      <c r="M60" s="164"/>
      <c r="N60" s="149"/>
    </row>
    <row r="61" spans="1:14">
      <c r="A61" s="149"/>
      <c r="B61" s="149"/>
      <c r="C61" s="149"/>
      <c r="D61" s="149"/>
      <c r="E61" s="149"/>
      <c r="F61" s="149"/>
      <c r="G61" s="149"/>
      <c r="H61" s="13"/>
      <c r="I61" s="149"/>
      <c r="J61" s="149"/>
      <c r="K61" s="149"/>
      <c r="L61" s="149"/>
      <c r="M61" s="164"/>
      <c r="N61" s="149"/>
    </row>
    <row r="62" spans="1:14">
      <c r="A62" s="149"/>
      <c r="B62" s="149"/>
      <c r="C62" s="149"/>
      <c r="D62" s="149"/>
      <c r="E62" s="149"/>
      <c r="F62" s="149"/>
      <c r="G62" s="149"/>
      <c r="H62" s="13"/>
      <c r="I62" s="149"/>
      <c r="J62" s="149"/>
      <c r="K62" s="149"/>
      <c r="L62" s="149"/>
      <c r="M62" s="164"/>
      <c r="N62" s="149"/>
    </row>
    <row r="63" spans="1:14">
      <c r="A63" s="149"/>
      <c r="B63" s="149"/>
      <c r="C63" s="149"/>
      <c r="D63" s="149"/>
      <c r="E63" s="149"/>
      <c r="F63" s="149"/>
      <c r="G63" s="149"/>
      <c r="H63" s="13"/>
      <c r="I63" s="149"/>
      <c r="J63" s="149"/>
      <c r="K63" s="149"/>
      <c r="L63" s="149"/>
      <c r="M63" s="164"/>
      <c r="N63" s="149"/>
    </row>
    <row r="64" spans="1:14">
      <c r="A64" s="149"/>
      <c r="B64" s="149"/>
      <c r="C64" s="149"/>
      <c r="D64" s="149"/>
      <c r="E64" s="149"/>
      <c r="F64" s="149"/>
      <c r="G64" s="149"/>
      <c r="H64" s="13"/>
      <c r="I64" s="149"/>
      <c r="J64" s="149"/>
      <c r="K64" s="149"/>
      <c r="L64" s="149"/>
      <c r="M64" s="164"/>
      <c r="N64" s="149"/>
    </row>
    <row r="65" spans="8:8">
      <c r="H65" s="13"/>
    </row>
    <row r="66" spans="8:8">
      <c r="H66" s="13"/>
    </row>
    <row r="67" spans="8:8">
      <c r="H67" s="13"/>
    </row>
    <row r="68" spans="8:8">
      <c r="H68" s="13"/>
    </row>
    <row r="69" spans="8:8">
      <c r="H69" s="13"/>
    </row>
    <row r="70" spans="8:8">
      <c r="H70" s="13"/>
    </row>
    <row r="71" spans="8:8">
      <c r="H71" s="13"/>
    </row>
    <row r="72" spans="8:8">
      <c r="H72" s="13"/>
    </row>
    <row r="73" spans="8:8">
      <c r="H73" s="13"/>
    </row>
    <row r="74" spans="8:8">
      <c r="H74" s="13"/>
    </row>
    <row r="75" spans="8:8">
      <c r="H75" s="13"/>
    </row>
    <row r="76" spans="8:8">
      <c r="H76" s="13"/>
    </row>
    <row r="77" spans="8:8">
      <c r="H77" s="13"/>
    </row>
    <row r="78" spans="8:8">
      <c r="H78" s="13"/>
    </row>
    <row r="79" spans="8:8">
      <c r="H79" s="13"/>
    </row>
    <row r="80" spans="8:8">
      <c r="H80" s="13"/>
    </row>
    <row r="81" spans="8:8">
      <c r="H81" s="13"/>
    </row>
    <row r="82" spans="8:8">
      <c r="H82" s="13"/>
    </row>
    <row r="83" spans="8:8">
      <c r="H83" s="13"/>
    </row>
    <row r="84" spans="8:8">
      <c r="H84" s="13"/>
    </row>
    <row r="85" spans="8:8">
      <c r="H85" s="13"/>
    </row>
    <row r="86" spans="8:8">
      <c r="H86" s="13"/>
    </row>
    <row r="87" spans="8:8">
      <c r="H87" s="13"/>
    </row>
    <row r="88" spans="8:8">
      <c r="H88" s="13"/>
    </row>
    <row r="89" spans="8:8">
      <c r="H89" s="13"/>
    </row>
    <row r="90" spans="8:8">
      <c r="H90" s="13"/>
    </row>
    <row r="91" spans="8:8">
      <c r="H91" s="13"/>
    </row>
    <row r="92" spans="8:8">
      <c r="H92" s="13"/>
    </row>
    <row r="93" spans="8:8">
      <c r="H93" s="13"/>
    </row>
    <row r="94" spans="8:8">
      <c r="H94" s="13"/>
    </row>
    <row r="95" spans="8:8">
      <c r="H95" s="13"/>
    </row>
    <row r="96" spans="8:8">
      <c r="H96" s="13"/>
    </row>
    <row r="97" spans="8:8">
      <c r="H97" s="13"/>
    </row>
    <row r="98" spans="8:8">
      <c r="H98" s="13"/>
    </row>
    <row r="99" spans="8:8">
      <c r="H99" s="13"/>
    </row>
    <row r="100" spans="8:8">
      <c r="H100" s="13"/>
    </row>
    <row r="101" spans="8:8">
      <c r="H101" s="13"/>
    </row>
    <row r="102" spans="8:8">
      <c r="H102" s="13"/>
    </row>
    <row r="103" spans="8:8">
      <c r="H103" s="13"/>
    </row>
    <row r="104" spans="8:8">
      <c r="H104" s="13"/>
    </row>
    <row r="105" spans="8:8">
      <c r="H105" s="13"/>
    </row>
    <row r="106" spans="8:8">
      <c r="H106" s="13"/>
    </row>
    <row r="107" spans="8:8">
      <c r="H107" s="13"/>
    </row>
    <row r="108" spans="8:8">
      <c r="H108" s="13"/>
    </row>
    <row r="109" spans="8:8">
      <c r="H109" s="13"/>
    </row>
    <row r="110" spans="8:8">
      <c r="H110" s="13"/>
    </row>
    <row r="111" spans="8:8">
      <c r="H111" s="13"/>
    </row>
    <row r="112" spans="8:8">
      <c r="H112" s="13"/>
    </row>
    <row r="113" spans="8:8">
      <c r="H113" s="13"/>
    </row>
    <row r="114" spans="8:8">
      <c r="H114" s="13"/>
    </row>
    <row r="115" spans="8:8">
      <c r="H115" s="13"/>
    </row>
    <row r="116" spans="8:8">
      <c r="H116" s="13"/>
    </row>
    <row r="117" spans="8:8">
      <c r="H117" s="13"/>
    </row>
    <row r="118" spans="8:8">
      <c r="H118" s="13"/>
    </row>
    <row r="119" spans="8:8">
      <c r="H119" s="13"/>
    </row>
    <row r="120" spans="8:8">
      <c r="H120" s="13"/>
    </row>
    <row r="121" spans="8:8">
      <c r="H121" s="13"/>
    </row>
    <row r="122" spans="8:8">
      <c r="H122" s="13"/>
    </row>
    <row r="123" spans="8:8">
      <c r="H123" s="13"/>
    </row>
    <row r="124" spans="8:8">
      <c r="H124" s="13"/>
    </row>
    <row r="125" spans="8:8">
      <c r="H125" s="13"/>
    </row>
    <row r="126" spans="8:8">
      <c r="H126" s="13"/>
    </row>
    <row r="127" spans="8:8">
      <c r="H127" s="13"/>
    </row>
  </sheetData>
  <mergeCells count="2">
    <mergeCell ref="C1:H1"/>
    <mergeCell ref="A2:M2"/>
  </mergeCells>
  <pageMargins left="0.7" right="0.7" top="0.75" bottom="0.75" header="0.3" footer="0.3"/>
  <pageSetup scale="50" orientation="landscape"/>
  <headerFooter>
    <oddHeader>&amp;R&amp;"Arial"&amp;12&amp;KB16D0A Document Classification: Public&amp;1#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13"/>
  <sheetViews>
    <sheetView topLeftCell="A4" workbookViewId="0">
      <selection activeCell="P26" sqref="P26"/>
    </sheetView>
  </sheetViews>
  <sheetFormatPr defaultColWidth="9.33203125" defaultRowHeight="15.6"/>
  <cols>
    <col min="1" max="1" width="6.33203125" style="1" customWidth="1"/>
    <col min="2" max="2" width="18.33203125" style="1" customWidth="1"/>
    <col min="3" max="3" width="41.33203125" style="1" customWidth="1"/>
    <col min="4" max="4" width="25.33203125" style="1" customWidth="1"/>
    <col min="5" max="5" width="13.33203125" style="1" customWidth="1"/>
    <col min="6" max="7" width="14.33203125" style="1" customWidth="1"/>
    <col min="8" max="8" width="19" style="15" customWidth="1"/>
    <col min="9" max="9" width="20.33203125" style="1" customWidth="1"/>
    <col min="10" max="11" width="14.33203125" style="1" customWidth="1"/>
    <col min="12" max="12" width="15.33203125" style="1" customWidth="1"/>
    <col min="13" max="13" width="14.33203125" style="16" customWidth="1"/>
    <col min="14" max="14" width="13" style="1" hidden="1" customWidth="1"/>
    <col min="15" max="16" width="11.33203125" style="1" customWidth="1"/>
    <col min="17" max="27" width="9.33203125" style="1"/>
    <col min="28" max="28" width="11.33203125" style="1" customWidth="1"/>
    <col min="29" max="16384" width="9.33203125" style="1"/>
  </cols>
  <sheetData>
    <row r="1" spans="1:28" ht="65.849999999999994" customHeight="1">
      <c r="A1" s="3"/>
      <c r="B1" s="3"/>
      <c r="C1" s="273"/>
      <c r="D1" s="273"/>
      <c r="E1" s="273"/>
      <c r="F1" s="273"/>
      <c r="G1" s="273"/>
      <c r="H1" s="273"/>
      <c r="I1" s="3"/>
      <c r="J1" s="3"/>
      <c r="K1" s="3"/>
      <c r="L1" s="3"/>
      <c r="M1" s="3"/>
      <c r="N1" s="3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</row>
    <row r="2" spans="1:28" ht="36.6" customHeight="1">
      <c r="A2" s="274" t="s">
        <v>21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3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8" ht="19.5" customHeight="1">
      <c r="A3" s="111" t="str">
        <f>SUMMARY!A3</f>
        <v>Date: Wednesday, 05 August, 2026</v>
      </c>
      <c r="B3" s="112"/>
      <c r="C3" s="6"/>
      <c r="D3" s="5"/>
      <c r="E3" s="5"/>
      <c r="F3" s="5"/>
      <c r="G3" s="5"/>
      <c r="H3" s="4"/>
      <c r="I3" s="5"/>
      <c r="J3" s="5"/>
      <c r="K3" s="5"/>
      <c r="L3" s="5"/>
      <c r="M3" s="5"/>
      <c r="N3" s="5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</row>
    <row r="4" spans="1:28" ht="73.5" customHeight="1">
      <c r="A4" s="17" t="s">
        <v>22</v>
      </c>
      <c r="B4" s="18" t="s">
        <v>23</v>
      </c>
      <c r="C4" s="18" t="s">
        <v>24</v>
      </c>
      <c r="D4" s="19" t="s">
        <v>25</v>
      </c>
      <c r="E4" s="113" t="s">
        <v>26</v>
      </c>
      <c r="F4" s="20" t="s">
        <v>27</v>
      </c>
      <c r="G4" s="21" t="s">
        <v>28</v>
      </c>
      <c r="H4" s="22" t="s">
        <v>29</v>
      </c>
      <c r="I4" s="23" t="s">
        <v>30</v>
      </c>
      <c r="J4" s="58" t="s">
        <v>31</v>
      </c>
      <c r="K4" s="124" t="s">
        <v>32</v>
      </c>
      <c r="L4" s="23" t="s">
        <v>33</v>
      </c>
      <c r="M4" s="43" t="s">
        <v>34</v>
      </c>
      <c r="N4" s="44" t="s">
        <v>35</v>
      </c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</row>
    <row r="5" spans="1:28">
      <c r="A5" s="248">
        <v>1</v>
      </c>
      <c r="B5" s="7" t="s">
        <v>134</v>
      </c>
      <c r="C5" s="114" t="s">
        <v>135</v>
      </c>
      <c r="D5" s="148" t="s">
        <v>136</v>
      </c>
      <c r="E5" s="229">
        <v>62.7</v>
      </c>
      <c r="F5" s="229">
        <v>62.7</v>
      </c>
      <c r="G5" s="230">
        <v>94.756847339999993</v>
      </c>
      <c r="H5" s="250"/>
      <c r="I5" s="251"/>
      <c r="J5" s="229">
        <v>62.7</v>
      </c>
      <c r="K5" s="229">
        <v>62.7</v>
      </c>
      <c r="L5" s="252">
        <f t="shared" ref="L5:L27" ca="1" si="0">M5-TODAY()</f>
        <v>21</v>
      </c>
      <c r="M5" s="253">
        <v>46260</v>
      </c>
      <c r="N5" s="254"/>
      <c r="O5" s="160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</row>
    <row r="6" spans="1:28">
      <c r="A6" s="248">
        <v>2</v>
      </c>
      <c r="B6" s="7"/>
      <c r="C6" s="114" t="s">
        <v>137</v>
      </c>
      <c r="D6" s="148" t="s">
        <v>138</v>
      </c>
      <c r="E6" s="229">
        <v>6.6241133807886721</v>
      </c>
      <c r="F6" s="229">
        <v>6.6241133807886721</v>
      </c>
      <c r="G6" s="230">
        <v>99.405578352307899</v>
      </c>
      <c r="H6" s="250"/>
      <c r="I6" s="251"/>
      <c r="J6" s="74">
        <v>6.6241133807886721</v>
      </c>
      <c r="K6" s="229">
        <v>6.6241133807886721</v>
      </c>
      <c r="L6" s="252">
        <f t="shared" ca="1" si="0"/>
        <v>106</v>
      </c>
      <c r="M6" s="253">
        <v>46345</v>
      </c>
      <c r="N6" s="254"/>
      <c r="O6" s="160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</row>
    <row r="7" spans="1:28">
      <c r="A7" s="248">
        <v>3</v>
      </c>
      <c r="B7" s="7"/>
      <c r="C7" s="114" t="s">
        <v>139</v>
      </c>
      <c r="D7" s="148" t="s">
        <v>140</v>
      </c>
      <c r="E7" s="229">
        <v>19.504720926245017</v>
      </c>
      <c r="F7" s="229">
        <v>19.504720926245017</v>
      </c>
      <c r="G7" s="229">
        <v>100.673310244258</v>
      </c>
      <c r="H7" s="255"/>
      <c r="I7" s="257"/>
      <c r="J7" s="74">
        <v>19.504720926245017</v>
      </c>
      <c r="K7" s="229">
        <v>19.504720926245017</v>
      </c>
      <c r="L7" s="252">
        <f t="shared" ca="1" si="0"/>
        <v>131</v>
      </c>
      <c r="M7" s="253">
        <v>46370</v>
      </c>
      <c r="N7" s="254"/>
      <c r="O7" s="160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</row>
    <row r="8" spans="1:28">
      <c r="A8" s="248">
        <v>4</v>
      </c>
      <c r="B8" s="7"/>
      <c r="C8" s="167" t="s">
        <v>141</v>
      </c>
      <c r="D8" s="148" t="s">
        <v>142</v>
      </c>
      <c r="E8" s="229">
        <v>30.145384277705713</v>
      </c>
      <c r="F8" s="229">
        <v>30.145384277705713</v>
      </c>
      <c r="G8" s="229">
        <v>91.620192307692307</v>
      </c>
      <c r="H8" s="255"/>
      <c r="I8" s="257"/>
      <c r="J8" s="74">
        <v>30.145384277705713</v>
      </c>
      <c r="K8" s="74">
        <v>30.145384277705713</v>
      </c>
      <c r="L8" s="252">
        <f t="shared" ca="1" si="0"/>
        <v>215</v>
      </c>
      <c r="M8" s="259">
        <v>46454</v>
      </c>
      <c r="N8" s="254"/>
      <c r="O8" s="160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</row>
    <row r="9" spans="1:28">
      <c r="A9" s="248">
        <v>5</v>
      </c>
      <c r="B9" s="7"/>
      <c r="C9" s="167" t="s">
        <v>143</v>
      </c>
      <c r="D9" s="148" t="s">
        <v>144</v>
      </c>
      <c r="E9" s="229">
        <v>22.72</v>
      </c>
      <c r="F9" s="229">
        <v>22.72</v>
      </c>
      <c r="G9" s="229">
        <v>99.561038019999998</v>
      </c>
      <c r="H9" s="255"/>
      <c r="I9" s="257"/>
      <c r="J9" s="74">
        <v>25.998920963894435</v>
      </c>
      <c r="K9" s="229">
        <v>25.998920963894435</v>
      </c>
      <c r="L9" s="252">
        <f t="shared" ca="1" si="0"/>
        <v>271</v>
      </c>
      <c r="M9" s="259">
        <v>46510</v>
      </c>
      <c r="N9" s="254"/>
      <c r="O9" s="160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</row>
    <row r="10" spans="1:28">
      <c r="A10" s="248"/>
      <c r="B10" s="7"/>
      <c r="C10" s="167"/>
      <c r="D10" s="148"/>
      <c r="E10" s="229"/>
      <c r="F10" s="229"/>
      <c r="G10" s="229"/>
      <c r="H10" s="255"/>
      <c r="I10" s="257"/>
      <c r="J10" s="74"/>
      <c r="K10" s="229"/>
      <c r="L10" s="252"/>
      <c r="M10" s="259"/>
      <c r="N10" s="254"/>
      <c r="O10" s="160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</row>
    <row r="11" spans="1:28">
      <c r="A11" s="248">
        <v>1</v>
      </c>
      <c r="B11" s="7" t="s">
        <v>145</v>
      </c>
      <c r="C11" s="167" t="s">
        <v>146</v>
      </c>
      <c r="D11" s="148" t="s">
        <v>147</v>
      </c>
      <c r="E11" s="229">
        <v>20.65</v>
      </c>
      <c r="F11" s="229">
        <v>64.02</v>
      </c>
      <c r="G11" s="249">
        <v>83.866849137509305</v>
      </c>
      <c r="H11" s="260"/>
      <c r="I11" s="261"/>
      <c r="J11" s="229">
        <v>55.71</v>
      </c>
      <c r="K11" s="229">
        <v>55.71</v>
      </c>
      <c r="L11" s="252">
        <f t="shared" ca="1" si="0"/>
        <v>166</v>
      </c>
      <c r="M11" s="259">
        <v>46405</v>
      </c>
      <c r="N11" s="254"/>
      <c r="O11" s="160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</row>
    <row r="12" spans="1:28">
      <c r="A12" s="248">
        <v>2</v>
      </c>
      <c r="B12" s="7"/>
      <c r="C12" s="167" t="s">
        <v>148</v>
      </c>
      <c r="D12" s="148" t="s">
        <v>149</v>
      </c>
      <c r="E12" s="229">
        <v>35.446300000000001</v>
      </c>
      <c r="F12" s="229">
        <v>35.446300000000001</v>
      </c>
      <c r="G12" s="230">
        <v>85.6798</v>
      </c>
      <c r="H12" s="250"/>
      <c r="I12" s="257"/>
      <c r="J12" s="74">
        <v>35.446300000000001</v>
      </c>
      <c r="K12" s="118">
        <v>35.446300000000001</v>
      </c>
      <c r="L12" s="252">
        <f t="shared" ca="1" si="0"/>
        <v>397</v>
      </c>
      <c r="M12" s="259">
        <v>46636</v>
      </c>
      <c r="N12" s="254"/>
      <c r="O12" s="160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</row>
    <row r="13" spans="1:28">
      <c r="A13" s="248">
        <v>3</v>
      </c>
      <c r="B13" s="7"/>
      <c r="C13" s="232" t="s">
        <v>150</v>
      </c>
      <c r="D13" s="148" t="s">
        <v>151</v>
      </c>
      <c r="E13" s="229">
        <v>22.192499999999999</v>
      </c>
      <c r="F13" s="229">
        <v>22.192499999999999</v>
      </c>
      <c r="G13" s="230">
        <v>99.445400000000006</v>
      </c>
      <c r="H13" s="250"/>
      <c r="I13" s="257"/>
      <c r="J13" s="74">
        <v>22.192499999999999</v>
      </c>
      <c r="K13" s="74">
        <v>22.192499999999999</v>
      </c>
      <c r="L13" s="252">
        <f t="shared" ca="1" si="0"/>
        <v>530</v>
      </c>
      <c r="M13" s="125">
        <v>46769</v>
      </c>
      <c r="N13" s="254"/>
      <c r="O13" s="160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</row>
    <row r="14" spans="1:28">
      <c r="A14" s="248"/>
      <c r="B14" s="7"/>
      <c r="C14" s="149"/>
      <c r="D14" s="149"/>
      <c r="E14" s="116"/>
      <c r="F14" s="116"/>
      <c r="G14" s="81"/>
      <c r="H14" s="117"/>
      <c r="I14" s="126"/>
      <c r="J14" s="118"/>
      <c r="K14" s="118"/>
      <c r="L14" s="252"/>
      <c r="M14" s="164"/>
      <c r="N14" s="254"/>
      <c r="O14" s="160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</row>
    <row r="15" spans="1:28">
      <c r="A15" s="248">
        <v>1</v>
      </c>
      <c r="B15" s="7" t="s">
        <v>36</v>
      </c>
      <c r="C15" s="167" t="s">
        <v>152</v>
      </c>
      <c r="D15" s="148" t="s">
        <v>153</v>
      </c>
      <c r="E15" s="118">
        <v>15.873336041211337</v>
      </c>
      <c r="F15" s="118">
        <v>15.873336041211337</v>
      </c>
      <c r="G15" s="249">
        <v>104.53499238347899</v>
      </c>
      <c r="H15" s="250"/>
      <c r="I15" s="251"/>
      <c r="J15" s="118">
        <v>12.003242847992537</v>
      </c>
      <c r="K15" s="118">
        <v>20.000071344324112</v>
      </c>
      <c r="L15" s="252">
        <f t="shared" ca="1" si="0"/>
        <v>369</v>
      </c>
      <c r="M15" s="259">
        <v>46608</v>
      </c>
      <c r="N15" s="254"/>
      <c r="O15" s="160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</row>
    <row r="16" spans="1:28">
      <c r="A16" s="248">
        <v>2</v>
      </c>
      <c r="B16" s="7"/>
      <c r="C16" s="167" t="s">
        <v>154</v>
      </c>
      <c r="D16" s="148" t="s">
        <v>155</v>
      </c>
      <c r="E16" s="118">
        <v>24.709861126328768</v>
      </c>
      <c r="F16" s="118">
        <v>24.709861126328768</v>
      </c>
      <c r="G16" s="249">
        <v>94.851288488210798</v>
      </c>
      <c r="H16" s="250"/>
      <c r="I16" s="251"/>
      <c r="J16" s="118">
        <v>24.447361326241406</v>
      </c>
      <c r="K16" s="118">
        <v>25.125750424530498</v>
      </c>
      <c r="L16" s="252">
        <f t="shared" ca="1" si="0"/>
        <v>460</v>
      </c>
      <c r="M16" s="259">
        <v>46699</v>
      </c>
      <c r="N16" s="254"/>
      <c r="O16" s="160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</row>
    <row r="17" spans="1:28">
      <c r="A17" s="248">
        <v>3</v>
      </c>
      <c r="B17" s="7"/>
      <c r="C17" s="167" t="s">
        <v>156</v>
      </c>
      <c r="D17" s="148" t="s">
        <v>157</v>
      </c>
      <c r="E17" s="118">
        <v>19.57</v>
      </c>
      <c r="F17" s="118">
        <v>19.57</v>
      </c>
      <c r="G17" s="249">
        <v>97.675170823317302</v>
      </c>
      <c r="H17" s="250"/>
      <c r="I17" s="257"/>
      <c r="J17" s="118">
        <v>18.062548953713183</v>
      </c>
      <c r="K17" s="118">
        <v>18.062548953713183</v>
      </c>
      <c r="L17" s="252">
        <f t="shared" ca="1" si="0"/>
        <v>677</v>
      </c>
      <c r="M17" s="259">
        <v>46916</v>
      </c>
      <c r="N17" s="254"/>
      <c r="O17" s="160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</row>
    <row r="18" spans="1:28">
      <c r="A18" s="248"/>
      <c r="B18" s="7"/>
      <c r="C18" s="167"/>
      <c r="D18" s="148"/>
      <c r="E18" s="118"/>
      <c r="F18" s="118"/>
      <c r="G18" s="229"/>
      <c r="H18" s="255"/>
      <c r="I18" s="257"/>
      <c r="J18" s="118"/>
      <c r="K18" s="118"/>
      <c r="L18" s="252"/>
      <c r="M18" s="259"/>
      <c r="N18" s="254"/>
      <c r="O18" s="160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</row>
    <row r="19" spans="1:28">
      <c r="A19" s="248">
        <v>1</v>
      </c>
      <c r="B19" s="7" t="s">
        <v>158</v>
      </c>
      <c r="C19" s="114" t="s">
        <v>159</v>
      </c>
      <c r="D19" s="115" t="s">
        <v>160</v>
      </c>
      <c r="E19" s="229">
        <v>6.9747879387898646</v>
      </c>
      <c r="F19" s="229">
        <v>6.9747879387898646</v>
      </c>
      <c r="G19" s="230">
        <v>105.946810708089</v>
      </c>
      <c r="H19" s="255"/>
      <c r="I19" s="251"/>
      <c r="J19" s="229">
        <v>5.9372276275281033</v>
      </c>
      <c r="K19" s="229">
        <v>7.3578427710865366</v>
      </c>
      <c r="L19" s="252">
        <f t="shared" ca="1" si="0"/>
        <v>89</v>
      </c>
      <c r="M19" s="253">
        <v>46328</v>
      </c>
      <c r="N19" s="254">
        <v>28</v>
      </c>
      <c r="O19" s="160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</row>
    <row r="20" spans="1:28" ht="15" customHeight="1">
      <c r="A20" s="248">
        <v>2</v>
      </c>
      <c r="B20" s="7"/>
      <c r="C20" s="167" t="s">
        <v>161</v>
      </c>
      <c r="D20" s="148" t="s">
        <v>162</v>
      </c>
      <c r="E20" s="229">
        <v>55.32</v>
      </c>
      <c r="F20" s="229">
        <v>55.32</v>
      </c>
      <c r="G20" s="230">
        <v>58.678512087911997</v>
      </c>
      <c r="H20" s="255"/>
      <c r="I20" s="251"/>
      <c r="J20" s="74">
        <v>17.475160192948277</v>
      </c>
      <c r="K20" s="118">
        <v>17.475160192948277</v>
      </c>
      <c r="L20" s="252">
        <f t="shared" ca="1" si="0"/>
        <v>663</v>
      </c>
      <c r="M20" s="259">
        <v>46902</v>
      </c>
      <c r="N20" s="254">
        <v>1</v>
      </c>
      <c r="O20" s="160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</row>
    <row r="21" spans="1:28">
      <c r="A21" s="248">
        <v>3</v>
      </c>
      <c r="B21" s="7"/>
      <c r="C21" s="114" t="s">
        <v>163</v>
      </c>
      <c r="D21" s="115" t="s">
        <v>164</v>
      </c>
      <c r="E21" s="229">
        <v>21</v>
      </c>
      <c r="F21" s="229">
        <v>21</v>
      </c>
      <c r="G21" s="229">
        <v>97.410000370000006</v>
      </c>
      <c r="H21" s="260"/>
      <c r="I21" s="261"/>
      <c r="J21" s="229">
        <v>19.814873708142493</v>
      </c>
      <c r="K21" s="229">
        <v>19.814873708142493</v>
      </c>
      <c r="L21" s="252">
        <f t="shared" ca="1" si="0"/>
        <v>1041</v>
      </c>
      <c r="M21" s="253">
        <v>47280</v>
      </c>
      <c r="N21" s="262">
        <v>2</v>
      </c>
      <c r="O21" s="160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</row>
    <row r="22" spans="1:28">
      <c r="A22" s="248">
        <v>4</v>
      </c>
      <c r="B22" s="7"/>
      <c r="C22" s="114" t="s">
        <v>165</v>
      </c>
      <c r="D22" s="115" t="s">
        <v>166</v>
      </c>
      <c r="E22" s="229">
        <v>19.750803797591214</v>
      </c>
      <c r="F22" s="229">
        <v>19.750803797591214</v>
      </c>
      <c r="G22" s="229">
        <v>99.891481846421101</v>
      </c>
      <c r="H22" s="260"/>
      <c r="I22" s="261"/>
      <c r="J22" s="229">
        <v>19.750803797591214</v>
      </c>
      <c r="K22" s="25">
        <v>19.750803797591214</v>
      </c>
      <c r="L22" s="252">
        <f t="shared" ca="1" si="0"/>
        <v>1797</v>
      </c>
      <c r="M22" s="253">
        <v>48036</v>
      </c>
      <c r="N22" s="262"/>
      <c r="O22" s="160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</row>
    <row r="23" spans="1:28">
      <c r="A23" s="248"/>
      <c r="B23" s="7"/>
      <c r="C23" s="114"/>
      <c r="D23" s="115"/>
      <c r="E23" s="118"/>
      <c r="F23" s="118"/>
      <c r="G23" s="229"/>
      <c r="H23" s="255"/>
      <c r="I23" s="257"/>
      <c r="J23" s="229"/>
      <c r="K23" s="118"/>
      <c r="L23" s="252"/>
      <c r="M23" s="253"/>
      <c r="N23" s="262"/>
      <c r="O23" s="160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</row>
    <row r="24" spans="1:28">
      <c r="A24" s="248">
        <v>1</v>
      </c>
      <c r="B24" s="7" t="s">
        <v>167</v>
      </c>
      <c r="C24" s="263" t="s">
        <v>168</v>
      </c>
      <c r="D24" s="119" t="s">
        <v>169</v>
      </c>
      <c r="E24" s="120">
        <v>35.582499024390202</v>
      </c>
      <c r="F24" s="120">
        <v>35.582499024390202</v>
      </c>
      <c r="G24" s="249">
        <v>60</v>
      </c>
      <c r="H24" s="250"/>
      <c r="I24" s="251"/>
      <c r="J24" s="120">
        <v>35.582499024390202</v>
      </c>
      <c r="K24" s="120">
        <v>35.582499024390202</v>
      </c>
      <c r="L24" s="252">
        <f t="shared" ca="1" si="0"/>
        <v>2049</v>
      </c>
      <c r="M24" s="253">
        <v>48288</v>
      </c>
      <c r="N24" s="262">
        <v>43811</v>
      </c>
      <c r="O24" s="160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</row>
    <row r="25" spans="1:28">
      <c r="A25" s="248">
        <v>2</v>
      </c>
      <c r="B25" s="7"/>
      <c r="C25" s="264" t="s">
        <v>170</v>
      </c>
      <c r="D25" s="148" t="s">
        <v>171</v>
      </c>
      <c r="E25" s="118">
        <v>19.972169386997713</v>
      </c>
      <c r="F25" s="118">
        <v>19.972169386997713</v>
      </c>
      <c r="G25" s="249">
        <v>100.00000406593399</v>
      </c>
      <c r="H25" s="250"/>
      <c r="I25" s="257"/>
      <c r="J25" s="118">
        <v>19.972169386997713</v>
      </c>
      <c r="K25" s="118">
        <v>19.972169386997713</v>
      </c>
      <c r="L25" s="252">
        <f t="shared" ca="1" si="0"/>
        <v>2896</v>
      </c>
      <c r="M25" s="259">
        <v>49135</v>
      </c>
      <c r="N25" s="254">
        <v>43811</v>
      </c>
      <c r="O25" s="160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</row>
    <row r="26" spans="1:28">
      <c r="A26" s="248"/>
      <c r="B26" s="7"/>
      <c r="C26" s="167"/>
      <c r="D26" s="148"/>
      <c r="E26" s="118"/>
      <c r="F26" s="118"/>
      <c r="G26" s="229"/>
      <c r="H26" s="255"/>
      <c r="I26" s="257"/>
      <c r="J26" s="229"/>
      <c r="K26" s="118"/>
      <c r="L26" s="252"/>
      <c r="M26" s="259"/>
      <c r="N26" s="254"/>
      <c r="O26" s="160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</row>
    <row r="27" spans="1:28">
      <c r="A27" s="248">
        <v>1</v>
      </c>
      <c r="B27" s="7" t="s">
        <v>172</v>
      </c>
      <c r="C27" s="167" t="s">
        <v>173</v>
      </c>
      <c r="D27" s="148" t="s">
        <v>174</v>
      </c>
      <c r="E27" s="229">
        <v>20.197720811497149</v>
      </c>
      <c r="F27" s="229">
        <v>20.197720811497149</v>
      </c>
      <c r="G27" s="229">
        <v>99.889013408906607</v>
      </c>
      <c r="H27" s="260"/>
      <c r="I27" s="261"/>
      <c r="J27" s="229">
        <v>20.197720811497149</v>
      </c>
      <c r="K27" s="25">
        <v>20.197720811497149</v>
      </c>
      <c r="L27" s="252">
        <f t="shared" ca="1" si="0"/>
        <v>4744</v>
      </c>
      <c r="M27" s="259">
        <v>50983</v>
      </c>
      <c r="N27" s="254">
        <v>43811</v>
      </c>
      <c r="O27" s="160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</row>
    <row r="28" spans="1:28" ht="15.75" customHeight="1">
      <c r="A28" s="161"/>
      <c r="B28" s="162"/>
      <c r="C28" s="12" t="s">
        <v>39</v>
      </c>
      <c r="D28" s="163"/>
      <c r="E28" s="121"/>
      <c r="F28" s="122"/>
      <c r="G28" s="46"/>
      <c r="H28" s="123">
        <f>SUM(H5:H27)</f>
        <v>0</v>
      </c>
      <c r="I28" s="123">
        <f>SUM(I5:I27)</f>
        <v>0</v>
      </c>
      <c r="J28" s="127"/>
      <c r="K28" s="128"/>
      <c r="L28" s="149"/>
      <c r="M28" s="164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</row>
    <row r="29" spans="1:28">
      <c r="A29" s="149"/>
      <c r="B29" s="41" t="s">
        <v>40</v>
      </c>
      <c r="C29" s="149"/>
      <c r="D29" s="149"/>
      <c r="E29" s="149"/>
      <c r="F29" s="149"/>
      <c r="G29" s="149"/>
      <c r="H29" s="159"/>
      <c r="I29" s="13"/>
      <c r="J29" s="149"/>
      <c r="K29" s="149"/>
      <c r="L29" s="149"/>
      <c r="M29" s="164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</row>
    <row r="30" spans="1:28">
      <c r="A30" s="149"/>
      <c r="B30" s="41"/>
      <c r="C30" s="149"/>
      <c r="D30" s="149"/>
      <c r="E30" s="149"/>
      <c r="F30" s="149"/>
      <c r="G30" s="149"/>
      <c r="H30" s="159"/>
      <c r="I30" s="13"/>
      <c r="J30" s="149"/>
      <c r="K30" s="149"/>
      <c r="L30" s="149"/>
      <c r="M30" s="164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</row>
    <row r="31" spans="1:28">
      <c r="A31" s="149"/>
      <c r="B31" s="41"/>
      <c r="C31" s="149"/>
      <c r="D31" s="149"/>
      <c r="E31" s="149"/>
      <c r="F31" s="149"/>
      <c r="G31" s="149"/>
      <c r="H31" s="159"/>
      <c r="I31" s="13"/>
      <c r="J31" s="149"/>
      <c r="K31" s="149"/>
      <c r="L31" s="149"/>
      <c r="M31" s="164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</row>
    <row r="32" spans="1:28">
      <c r="A32" s="2" t="s">
        <v>41</v>
      </c>
      <c r="B32" s="2"/>
      <c r="C32" s="2"/>
      <c r="D32" s="2"/>
      <c r="E32" s="2"/>
      <c r="F32" s="149"/>
      <c r="G32" s="149"/>
      <c r="H32" s="14"/>
      <c r="I32" s="14"/>
      <c r="J32" s="149"/>
      <c r="K32" s="149"/>
      <c r="L32" s="149"/>
      <c r="M32" s="158"/>
      <c r="N32" s="165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</row>
    <row r="33" spans="1:28">
      <c r="A33" s="157" t="s">
        <v>42</v>
      </c>
      <c r="B33" s="157"/>
      <c r="C33" s="157"/>
      <c r="D33" s="157"/>
      <c r="E33" s="149"/>
      <c r="F33" s="158"/>
      <c r="G33" s="159"/>
      <c r="H33" s="13"/>
      <c r="I33" s="166"/>
      <c r="J33" s="166"/>
      <c r="K33" s="149"/>
      <c r="L33" s="149"/>
      <c r="M33" s="160"/>
      <c r="N33" s="165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</row>
    <row r="34" spans="1:28">
      <c r="A34" s="157" t="s">
        <v>43</v>
      </c>
      <c r="B34" s="157"/>
      <c r="C34" s="157"/>
      <c r="D34" s="157"/>
      <c r="E34" s="149"/>
      <c r="F34" s="158"/>
      <c r="G34" s="159"/>
      <c r="H34" s="13"/>
      <c r="I34" s="149"/>
      <c r="J34" s="149"/>
      <c r="K34" s="149"/>
      <c r="L34" s="149"/>
      <c r="M34" s="160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</row>
    <row r="35" spans="1:28">
      <c r="A35" s="157"/>
      <c r="B35" s="157"/>
      <c r="C35" s="157"/>
      <c r="D35" s="157"/>
      <c r="E35" s="149"/>
      <c r="F35" s="158"/>
      <c r="G35" s="159"/>
      <c r="H35" s="13"/>
      <c r="I35" s="149"/>
      <c r="J35" s="149"/>
      <c r="K35" s="149"/>
      <c r="L35" s="149"/>
      <c r="M35" s="160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</row>
    <row r="36" spans="1:28">
      <c r="A36" s="157"/>
      <c r="B36" s="157"/>
      <c r="C36" s="157"/>
      <c r="D36" s="157"/>
      <c r="E36" s="149"/>
      <c r="F36" s="149"/>
      <c r="G36" s="149"/>
      <c r="H36" s="13"/>
      <c r="I36" s="149"/>
      <c r="J36" s="149"/>
      <c r="K36" s="149"/>
      <c r="L36" s="149"/>
      <c r="M36" s="164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</row>
    <row r="37" spans="1:28">
      <c r="A37" s="157"/>
      <c r="B37" s="278"/>
      <c r="C37" s="278"/>
      <c r="D37" s="157"/>
      <c r="E37" s="149"/>
      <c r="F37" s="149"/>
      <c r="G37" s="149"/>
      <c r="H37" s="13"/>
      <c r="I37" s="149"/>
      <c r="J37" s="149"/>
      <c r="K37" s="149"/>
      <c r="L37" s="149"/>
      <c r="M37" s="164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</row>
    <row r="38" spans="1:28">
      <c r="A38" s="149"/>
      <c r="B38" s="149"/>
      <c r="C38" s="149"/>
      <c r="D38" s="149"/>
      <c r="E38" s="149"/>
      <c r="F38" s="149"/>
      <c r="G38" s="149"/>
      <c r="H38" s="13"/>
      <c r="I38" s="149"/>
      <c r="J38" s="149"/>
      <c r="K38" s="149"/>
      <c r="L38" s="149"/>
      <c r="M38" s="164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</row>
    <row r="39" spans="1:28">
      <c r="A39" s="149"/>
      <c r="B39" s="149"/>
      <c r="C39" s="149"/>
      <c r="D39" s="149"/>
      <c r="E39" s="149"/>
      <c r="F39" s="149"/>
      <c r="G39" s="149"/>
      <c r="H39" s="13"/>
      <c r="I39" s="149"/>
      <c r="J39" s="149"/>
      <c r="K39" s="149"/>
      <c r="L39" s="149"/>
      <c r="M39" s="164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</row>
    <row r="40" spans="1:28">
      <c r="A40" s="149"/>
      <c r="B40" s="149"/>
      <c r="C40" s="149"/>
      <c r="D40" s="149"/>
      <c r="E40" s="149"/>
      <c r="F40" s="149"/>
      <c r="G40" s="149"/>
      <c r="H40" s="13"/>
      <c r="I40" s="149"/>
      <c r="J40" s="149"/>
      <c r="K40" s="149"/>
      <c r="L40" s="149"/>
      <c r="M40" s="164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</row>
    <row r="41" spans="1:28">
      <c r="A41" s="149"/>
      <c r="B41" s="149"/>
      <c r="C41" s="149"/>
      <c r="D41" s="149"/>
      <c r="E41" s="149"/>
      <c r="F41" s="149"/>
      <c r="G41" s="149"/>
      <c r="H41" s="13"/>
      <c r="I41" s="149"/>
      <c r="J41" s="149"/>
      <c r="K41" s="149"/>
      <c r="L41" s="149"/>
      <c r="M41" s="164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</row>
    <row r="42" spans="1:28">
      <c r="A42" s="149"/>
      <c r="B42" s="149"/>
      <c r="C42" s="149"/>
      <c r="D42" s="149"/>
      <c r="E42" s="149"/>
      <c r="F42" s="149"/>
      <c r="G42" s="149"/>
      <c r="H42" s="13"/>
      <c r="I42" s="149"/>
      <c r="J42" s="149"/>
      <c r="K42" s="149"/>
      <c r="L42" s="149"/>
      <c r="M42" s="164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</row>
    <row r="43" spans="1:28">
      <c r="A43" s="149"/>
      <c r="B43" s="149"/>
      <c r="C43" s="149"/>
      <c r="D43" s="149"/>
      <c r="E43" s="149"/>
      <c r="F43" s="149"/>
      <c r="G43" s="149"/>
      <c r="H43" s="13"/>
      <c r="I43" s="149"/>
      <c r="J43" s="149"/>
      <c r="K43" s="149"/>
      <c r="L43" s="149"/>
      <c r="M43" s="164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</row>
    <row r="44" spans="1:28">
      <c r="A44" s="149"/>
      <c r="B44" s="149"/>
      <c r="C44" s="149"/>
      <c r="D44" s="149"/>
      <c r="E44" s="149"/>
      <c r="F44" s="149"/>
      <c r="G44" s="149"/>
      <c r="H44" s="13"/>
      <c r="I44" s="149"/>
      <c r="J44" s="149"/>
      <c r="K44" s="149"/>
      <c r="L44" s="149"/>
      <c r="M44" s="164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</row>
    <row r="45" spans="1:28">
      <c r="A45" s="149"/>
      <c r="B45" s="149"/>
      <c r="C45" s="149"/>
      <c r="D45" s="149"/>
      <c r="E45" s="149"/>
      <c r="F45" s="149"/>
      <c r="G45" s="149"/>
      <c r="H45" s="13"/>
      <c r="I45" s="149"/>
      <c r="J45" s="149"/>
      <c r="K45" s="149"/>
      <c r="L45" s="149"/>
      <c r="M45" s="164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</row>
    <row r="46" spans="1:28">
      <c r="A46" s="149"/>
      <c r="B46" s="149"/>
      <c r="C46" s="149"/>
      <c r="D46" s="149"/>
      <c r="E46" s="149"/>
      <c r="F46" s="149"/>
      <c r="G46" s="149"/>
      <c r="H46" s="13"/>
      <c r="I46" s="149"/>
      <c r="J46" s="149"/>
      <c r="K46" s="149"/>
      <c r="L46" s="149"/>
      <c r="M46" s="164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</row>
    <row r="47" spans="1:28">
      <c r="A47" s="149"/>
      <c r="B47" s="149"/>
      <c r="C47" s="149"/>
      <c r="D47" s="149"/>
      <c r="E47" s="149"/>
      <c r="F47" s="149"/>
      <c r="G47" s="149"/>
      <c r="H47" s="13"/>
      <c r="I47" s="149"/>
      <c r="J47" s="149"/>
      <c r="K47" s="149"/>
      <c r="L47" s="149"/>
      <c r="M47" s="164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</row>
    <row r="48" spans="1:28">
      <c r="A48" s="149"/>
      <c r="B48" s="149"/>
      <c r="C48" s="149"/>
      <c r="D48" s="149"/>
      <c r="E48" s="149"/>
      <c r="F48" s="149"/>
      <c r="G48" s="149"/>
      <c r="H48" s="13"/>
      <c r="I48" s="149"/>
      <c r="J48" s="149"/>
      <c r="K48" s="149"/>
      <c r="L48" s="149"/>
      <c r="M48" s="164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</row>
    <row r="49" spans="1:28">
      <c r="A49" s="149"/>
      <c r="B49" s="149"/>
      <c r="C49" s="149"/>
      <c r="D49" s="149"/>
      <c r="E49" s="149"/>
      <c r="F49" s="149"/>
      <c r="G49" s="149"/>
      <c r="H49" s="13"/>
      <c r="I49" s="149"/>
      <c r="J49" s="149"/>
      <c r="K49" s="149"/>
      <c r="L49" s="149"/>
      <c r="M49" s="164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</row>
    <row r="50" spans="1:28">
      <c r="A50" s="149"/>
      <c r="B50" s="149"/>
      <c r="C50" s="149"/>
      <c r="D50" s="149"/>
      <c r="E50" s="149"/>
      <c r="F50" s="149"/>
      <c r="G50" s="149"/>
      <c r="H50" s="13"/>
      <c r="I50" s="149"/>
      <c r="J50" s="149"/>
      <c r="K50" s="149"/>
      <c r="L50" s="149"/>
      <c r="M50" s="164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</row>
    <row r="51" spans="1:28">
      <c r="A51" s="149"/>
      <c r="B51" s="149"/>
      <c r="C51" s="149"/>
      <c r="D51" s="149"/>
      <c r="E51" s="149"/>
      <c r="F51" s="149"/>
      <c r="G51" s="149"/>
      <c r="H51" s="13"/>
      <c r="I51" s="149"/>
      <c r="J51" s="149"/>
      <c r="K51" s="149"/>
      <c r="L51" s="149"/>
      <c r="M51" s="164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</row>
    <row r="52" spans="1:28">
      <c r="A52" s="149"/>
      <c r="B52" s="149"/>
      <c r="C52" s="149"/>
      <c r="D52" s="149"/>
      <c r="E52" s="149"/>
      <c r="F52" s="149"/>
      <c r="G52" s="149"/>
      <c r="H52" s="13"/>
      <c r="I52" s="149"/>
      <c r="J52" s="149"/>
      <c r="K52" s="149"/>
      <c r="L52" s="149"/>
      <c r="M52" s="164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</row>
    <row r="53" spans="1:28">
      <c r="A53" s="149"/>
      <c r="B53" s="149"/>
      <c r="C53" s="149"/>
      <c r="D53" s="149"/>
      <c r="E53" s="149"/>
      <c r="F53" s="149"/>
      <c r="G53" s="149"/>
      <c r="H53" s="13"/>
      <c r="I53" s="149"/>
      <c r="J53" s="149"/>
      <c r="K53" s="149"/>
      <c r="L53" s="149"/>
      <c r="M53" s="164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</row>
    <row r="54" spans="1:28">
      <c r="A54" s="149"/>
      <c r="B54" s="149"/>
      <c r="C54" s="149"/>
      <c r="D54" s="149"/>
      <c r="E54" s="149"/>
      <c r="F54" s="149"/>
      <c r="G54" s="149"/>
      <c r="H54" s="13"/>
      <c r="I54" s="149"/>
      <c r="J54" s="149"/>
      <c r="K54" s="149"/>
      <c r="L54" s="149"/>
      <c r="M54" s="164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</row>
    <row r="55" spans="1:28">
      <c r="A55" s="149"/>
      <c r="B55" s="149"/>
      <c r="C55" s="149"/>
      <c r="D55" s="149"/>
      <c r="E55" s="149"/>
      <c r="F55" s="149"/>
      <c r="G55" s="149"/>
      <c r="H55" s="13"/>
      <c r="I55" s="149"/>
      <c r="J55" s="149"/>
      <c r="K55" s="149"/>
      <c r="L55" s="149"/>
      <c r="M55" s="164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</row>
    <row r="56" spans="1:28">
      <c r="A56" s="149"/>
      <c r="B56" s="149"/>
      <c r="C56" s="149"/>
      <c r="D56" s="149"/>
      <c r="E56" s="149"/>
      <c r="F56" s="149"/>
      <c r="G56" s="149"/>
      <c r="H56" s="13"/>
      <c r="I56" s="149"/>
      <c r="J56" s="149"/>
      <c r="K56" s="149"/>
      <c r="L56" s="149"/>
      <c r="M56" s="164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</row>
    <row r="57" spans="1:28">
      <c r="A57" s="149"/>
      <c r="B57" s="149"/>
      <c r="C57" s="149"/>
      <c r="D57" s="149"/>
      <c r="E57" s="149"/>
      <c r="F57" s="149"/>
      <c r="G57" s="149"/>
      <c r="H57" s="13"/>
      <c r="I57" s="149"/>
      <c r="J57" s="149"/>
      <c r="K57" s="149"/>
      <c r="L57" s="149"/>
      <c r="M57" s="164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</row>
    <row r="58" spans="1:28">
      <c r="A58" s="149"/>
      <c r="B58" s="149"/>
      <c r="C58" s="149"/>
      <c r="D58" s="149"/>
      <c r="E58" s="149"/>
      <c r="F58" s="149"/>
      <c r="G58" s="149"/>
      <c r="H58" s="13"/>
      <c r="I58" s="149"/>
      <c r="J58" s="149"/>
      <c r="K58" s="149"/>
      <c r="L58" s="149"/>
      <c r="M58" s="164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</row>
    <row r="59" spans="1:28">
      <c r="A59" s="149"/>
      <c r="B59" s="149"/>
      <c r="C59" s="149"/>
      <c r="D59" s="149"/>
      <c r="E59" s="149"/>
      <c r="F59" s="149"/>
      <c r="G59" s="149"/>
      <c r="H59" s="13"/>
      <c r="I59" s="149"/>
      <c r="J59" s="149"/>
      <c r="K59" s="149"/>
      <c r="L59" s="149"/>
      <c r="M59" s="164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</row>
    <row r="60" spans="1:28">
      <c r="A60" s="149"/>
      <c r="B60" s="149"/>
      <c r="C60" s="149"/>
      <c r="D60" s="149"/>
      <c r="E60" s="149"/>
      <c r="F60" s="149"/>
      <c r="G60" s="149"/>
      <c r="H60" s="13"/>
      <c r="I60" s="149"/>
      <c r="J60" s="149"/>
      <c r="K60" s="149"/>
      <c r="L60" s="149"/>
      <c r="M60" s="164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</row>
    <row r="61" spans="1:28">
      <c r="A61" s="149"/>
      <c r="B61" s="149"/>
      <c r="C61" s="149"/>
      <c r="D61" s="149"/>
      <c r="E61" s="149"/>
      <c r="F61" s="149"/>
      <c r="G61" s="149"/>
      <c r="H61" s="13"/>
      <c r="I61" s="149"/>
      <c r="J61" s="149"/>
      <c r="K61" s="149"/>
      <c r="L61" s="149"/>
      <c r="M61" s="164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</row>
    <row r="62" spans="1:28">
      <c r="A62" s="149"/>
      <c r="B62" s="149"/>
      <c r="C62" s="149"/>
      <c r="D62" s="149"/>
      <c r="E62" s="149"/>
      <c r="F62" s="149"/>
      <c r="G62" s="149"/>
      <c r="H62" s="13"/>
      <c r="I62" s="149"/>
      <c r="J62" s="149"/>
      <c r="K62" s="149"/>
      <c r="L62" s="149"/>
      <c r="M62" s="164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</row>
    <row r="63" spans="1:28">
      <c r="A63" s="149"/>
      <c r="B63" s="149"/>
      <c r="C63" s="149"/>
      <c r="D63" s="149"/>
      <c r="E63" s="149"/>
      <c r="F63" s="149"/>
      <c r="G63" s="149"/>
      <c r="H63" s="13"/>
      <c r="I63" s="149"/>
      <c r="J63" s="149"/>
      <c r="K63" s="149"/>
      <c r="L63" s="149"/>
      <c r="M63" s="164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</row>
    <row r="64" spans="1:28">
      <c r="A64" s="149"/>
      <c r="B64" s="149"/>
      <c r="C64" s="149"/>
      <c r="D64" s="149"/>
      <c r="E64" s="149"/>
      <c r="F64" s="149"/>
      <c r="G64" s="149"/>
      <c r="H64" s="13"/>
      <c r="I64" s="149"/>
      <c r="J64" s="149"/>
      <c r="K64" s="149"/>
      <c r="L64" s="149"/>
      <c r="M64" s="164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</row>
    <row r="65" spans="1:28">
      <c r="A65" s="149"/>
      <c r="B65" s="149"/>
      <c r="C65" s="149"/>
      <c r="D65" s="149"/>
      <c r="E65" s="149"/>
      <c r="F65" s="149"/>
      <c r="G65" s="149"/>
      <c r="H65" s="13"/>
      <c r="I65" s="149"/>
      <c r="J65" s="149"/>
      <c r="K65" s="149"/>
      <c r="L65" s="149"/>
      <c r="M65" s="164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</row>
    <row r="66" spans="1:28">
      <c r="A66" s="149"/>
      <c r="B66" s="149"/>
      <c r="C66" s="149"/>
      <c r="D66" s="149"/>
      <c r="E66" s="149"/>
      <c r="F66" s="149"/>
      <c r="G66" s="149"/>
      <c r="H66" s="13"/>
      <c r="I66" s="149"/>
      <c r="J66" s="149"/>
      <c r="K66" s="149"/>
      <c r="L66" s="149"/>
      <c r="M66" s="164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</row>
    <row r="67" spans="1:28">
      <c r="A67" s="149"/>
      <c r="B67" s="149"/>
      <c r="C67" s="149"/>
      <c r="D67" s="149"/>
      <c r="E67" s="149"/>
      <c r="F67" s="149"/>
      <c r="G67" s="149"/>
      <c r="H67" s="13"/>
      <c r="I67" s="149"/>
      <c r="J67" s="149"/>
      <c r="K67" s="149"/>
      <c r="L67" s="149"/>
      <c r="M67" s="164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</row>
    <row r="68" spans="1:28">
      <c r="A68" s="149"/>
      <c r="B68" s="149"/>
      <c r="C68" s="149"/>
      <c r="D68" s="149"/>
      <c r="E68" s="149"/>
      <c r="F68" s="149"/>
      <c r="G68" s="149"/>
      <c r="H68" s="13"/>
      <c r="I68" s="149"/>
      <c r="J68" s="149"/>
      <c r="K68" s="149"/>
      <c r="L68" s="149"/>
      <c r="M68" s="164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</row>
    <row r="69" spans="1:28">
      <c r="A69" s="149"/>
      <c r="B69" s="149"/>
      <c r="C69" s="149"/>
      <c r="D69" s="149"/>
      <c r="E69" s="149"/>
      <c r="F69" s="149"/>
      <c r="G69" s="149"/>
      <c r="H69" s="13"/>
      <c r="I69" s="149"/>
      <c r="J69" s="149"/>
      <c r="K69" s="149"/>
      <c r="L69" s="149"/>
      <c r="M69" s="164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</row>
    <row r="70" spans="1:28">
      <c r="A70" s="149"/>
      <c r="B70" s="149"/>
      <c r="C70" s="149"/>
      <c r="D70" s="149"/>
      <c r="E70" s="149"/>
      <c r="F70" s="149"/>
      <c r="G70" s="149"/>
      <c r="H70" s="13"/>
      <c r="I70" s="149"/>
      <c r="J70" s="149"/>
      <c r="K70" s="149"/>
      <c r="L70" s="149"/>
      <c r="M70" s="164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</row>
    <row r="71" spans="1:28">
      <c r="A71" s="149"/>
      <c r="B71" s="149"/>
      <c r="C71" s="149"/>
      <c r="D71" s="149"/>
      <c r="E71" s="149"/>
      <c r="F71" s="149"/>
      <c r="G71" s="149"/>
      <c r="H71" s="13"/>
      <c r="I71" s="149"/>
      <c r="J71" s="149"/>
      <c r="K71" s="149"/>
      <c r="L71" s="149"/>
      <c r="M71" s="164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</row>
    <row r="72" spans="1:28">
      <c r="A72" s="149"/>
      <c r="B72" s="149"/>
      <c r="C72" s="149"/>
      <c r="D72" s="149"/>
      <c r="E72" s="149"/>
      <c r="F72" s="149"/>
      <c r="G72" s="149"/>
      <c r="H72" s="13"/>
      <c r="I72" s="149"/>
      <c r="J72" s="149"/>
      <c r="K72" s="149"/>
      <c r="L72" s="149"/>
      <c r="M72" s="164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</row>
    <row r="73" spans="1:28">
      <c r="A73" s="149"/>
      <c r="B73" s="149"/>
      <c r="C73" s="149"/>
      <c r="D73" s="149"/>
      <c r="E73" s="149"/>
      <c r="F73" s="149"/>
      <c r="G73" s="149"/>
      <c r="H73" s="13"/>
      <c r="I73" s="149"/>
      <c r="J73" s="149"/>
      <c r="K73" s="149"/>
      <c r="L73" s="149"/>
      <c r="M73" s="164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</row>
    <row r="74" spans="1:28">
      <c r="A74" s="149"/>
      <c r="B74" s="149"/>
      <c r="C74" s="149"/>
      <c r="D74" s="149"/>
      <c r="E74" s="149"/>
      <c r="F74" s="149"/>
      <c r="G74" s="149"/>
      <c r="H74" s="13"/>
      <c r="I74" s="149"/>
      <c r="J74" s="149"/>
      <c r="K74" s="149"/>
      <c r="L74" s="149"/>
      <c r="M74" s="164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</row>
    <row r="75" spans="1:28">
      <c r="A75" s="149"/>
      <c r="B75" s="149"/>
      <c r="C75" s="149"/>
      <c r="D75" s="149"/>
      <c r="E75" s="149"/>
      <c r="F75" s="149"/>
      <c r="G75" s="149"/>
      <c r="H75" s="13"/>
      <c r="I75" s="149"/>
      <c r="J75" s="149"/>
      <c r="K75" s="149"/>
      <c r="L75" s="149"/>
      <c r="M75" s="164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</row>
    <row r="76" spans="1:28">
      <c r="A76" s="149"/>
      <c r="B76" s="149"/>
      <c r="C76" s="149"/>
      <c r="D76" s="149"/>
      <c r="E76" s="149"/>
      <c r="F76" s="149"/>
      <c r="G76" s="149"/>
      <c r="H76" s="13"/>
      <c r="I76" s="149"/>
      <c r="J76" s="149"/>
      <c r="K76" s="149"/>
      <c r="L76" s="149"/>
      <c r="M76" s="164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</row>
    <row r="77" spans="1:28">
      <c r="A77" s="149"/>
      <c r="B77" s="149"/>
      <c r="C77" s="149"/>
      <c r="D77" s="149"/>
      <c r="E77" s="149"/>
      <c r="F77" s="149"/>
      <c r="G77" s="149"/>
      <c r="H77" s="13"/>
      <c r="I77" s="149"/>
      <c r="J77" s="149"/>
      <c r="K77" s="149"/>
      <c r="L77" s="149"/>
      <c r="M77" s="164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</row>
    <row r="78" spans="1:28">
      <c r="A78" s="149"/>
      <c r="B78" s="149"/>
      <c r="C78" s="149"/>
      <c r="D78" s="149"/>
      <c r="E78" s="149"/>
      <c r="F78" s="149"/>
      <c r="G78" s="149"/>
      <c r="H78" s="13"/>
      <c r="I78" s="149"/>
      <c r="J78" s="149"/>
      <c r="K78" s="149"/>
      <c r="L78" s="149"/>
      <c r="M78" s="164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</row>
    <row r="79" spans="1:28">
      <c r="A79" s="149"/>
      <c r="B79" s="149"/>
      <c r="C79" s="149"/>
      <c r="D79" s="149"/>
      <c r="E79" s="149"/>
      <c r="F79" s="149"/>
      <c r="G79" s="149"/>
      <c r="H79" s="13"/>
      <c r="I79" s="149"/>
      <c r="J79" s="149"/>
      <c r="K79" s="149"/>
      <c r="L79" s="149"/>
      <c r="M79" s="164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</row>
    <row r="80" spans="1:28">
      <c r="A80" s="149"/>
      <c r="B80" s="149"/>
      <c r="C80" s="149"/>
      <c r="D80" s="149"/>
      <c r="E80" s="149"/>
      <c r="F80" s="149"/>
      <c r="G80" s="149"/>
      <c r="H80" s="13"/>
      <c r="I80" s="149"/>
      <c r="J80" s="149"/>
      <c r="K80" s="149"/>
      <c r="L80" s="149"/>
      <c r="M80" s="164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</row>
    <row r="81" spans="1:28">
      <c r="A81" s="149"/>
      <c r="B81" s="149"/>
      <c r="C81" s="149"/>
      <c r="D81" s="149"/>
      <c r="E81" s="149"/>
      <c r="F81" s="149"/>
      <c r="G81" s="149"/>
      <c r="H81" s="13"/>
      <c r="I81" s="149"/>
      <c r="J81" s="149"/>
      <c r="K81" s="149"/>
      <c r="L81" s="149"/>
      <c r="M81" s="164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</row>
    <row r="82" spans="1:28">
      <c r="A82" s="149"/>
      <c r="B82" s="149"/>
      <c r="C82" s="149"/>
      <c r="D82" s="149"/>
      <c r="E82" s="149"/>
      <c r="F82" s="149"/>
      <c r="G82" s="149"/>
      <c r="H82" s="13"/>
      <c r="I82" s="149"/>
      <c r="J82" s="149"/>
      <c r="K82" s="149"/>
      <c r="L82" s="149"/>
      <c r="M82" s="164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</row>
    <row r="83" spans="1:28">
      <c r="A83" s="149"/>
      <c r="B83" s="149"/>
      <c r="C83" s="149"/>
      <c r="D83" s="149"/>
      <c r="E83" s="149"/>
      <c r="F83" s="149"/>
      <c r="G83" s="149"/>
      <c r="H83" s="13"/>
      <c r="I83" s="149"/>
      <c r="J83" s="149"/>
      <c r="K83" s="149"/>
      <c r="L83" s="149"/>
      <c r="M83" s="164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</row>
    <row r="84" spans="1:28">
      <c r="A84" s="149"/>
      <c r="B84" s="149"/>
      <c r="C84" s="149"/>
      <c r="D84" s="149"/>
      <c r="E84" s="149"/>
      <c r="F84" s="149"/>
      <c r="G84" s="149"/>
      <c r="H84" s="13"/>
      <c r="I84" s="149"/>
      <c r="J84" s="149"/>
      <c r="K84" s="149"/>
      <c r="L84" s="149"/>
      <c r="M84" s="164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</row>
    <row r="85" spans="1:28">
      <c r="A85" s="149"/>
      <c r="B85" s="149"/>
      <c r="C85" s="149"/>
      <c r="D85" s="149"/>
      <c r="E85" s="149"/>
      <c r="F85" s="149"/>
      <c r="G85" s="149"/>
      <c r="H85" s="13"/>
      <c r="I85" s="149"/>
      <c r="J85" s="149"/>
      <c r="K85" s="149"/>
      <c r="L85" s="149"/>
      <c r="M85" s="164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</row>
    <row r="86" spans="1:28">
      <c r="A86" s="149"/>
      <c r="B86" s="149"/>
      <c r="C86" s="149"/>
      <c r="D86" s="149"/>
      <c r="E86" s="149"/>
      <c r="F86" s="149"/>
      <c r="G86" s="149"/>
      <c r="H86" s="13"/>
      <c r="I86" s="149"/>
      <c r="J86" s="149"/>
      <c r="K86" s="149"/>
      <c r="L86" s="149"/>
      <c r="M86" s="164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</row>
    <row r="87" spans="1:28">
      <c r="A87" s="149"/>
      <c r="B87" s="149"/>
      <c r="C87" s="149"/>
      <c r="D87" s="149"/>
      <c r="E87" s="149"/>
      <c r="F87" s="149"/>
      <c r="G87" s="149"/>
      <c r="H87" s="13"/>
      <c r="I87" s="149"/>
      <c r="J87" s="149"/>
      <c r="K87" s="149"/>
      <c r="L87" s="149"/>
      <c r="M87" s="164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</row>
    <row r="88" spans="1:28">
      <c r="A88" s="149"/>
      <c r="B88" s="149"/>
      <c r="C88" s="149"/>
      <c r="D88" s="149"/>
      <c r="E88" s="149"/>
      <c r="F88" s="149"/>
      <c r="G88" s="149"/>
      <c r="H88" s="13"/>
      <c r="I88" s="149"/>
      <c r="J88" s="149"/>
      <c r="K88" s="149"/>
      <c r="L88" s="149"/>
      <c r="M88" s="164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</row>
    <row r="89" spans="1:28">
      <c r="A89" s="149"/>
      <c r="B89" s="149"/>
      <c r="C89" s="149"/>
      <c r="D89" s="149"/>
      <c r="E89" s="149"/>
      <c r="F89" s="149"/>
      <c r="G89" s="149"/>
      <c r="H89" s="13"/>
      <c r="I89" s="149"/>
      <c r="J89" s="149"/>
      <c r="K89" s="149"/>
      <c r="L89" s="149"/>
      <c r="M89" s="164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</row>
    <row r="90" spans="1:28">
      <c r="A90" s="149"/>
      <c r="B90" s="149"/>
      <c r="C90" s="149"/>
      <c r="D90" s="149"/>
      <c r="E90" s="149"/>
      <c r="F90" s="149"/>
      <c r="G90" s="149"/>
      <c r="H90" s="13"/>
      <c r="I90" s="149"/>
      <c r="J90" s="149"/>
      <c r="K90" s="149"/>
      <c r="L90" s="149"/>
      <c r="M90" s="164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</row>
    <row r="91" spans="1:28">
      <c r="A91" s="149"/>
      <c r="B91" s="149"/>
      <c r="C91" s="149"/>
      <c r="D91" s="149"/>
      <c r="E91" s="149"/>
      <c r="F91" s="149"/>
      <c r="G91" s="149"/>
      <c r="H91" s="13"/>
      <c r="I91" s="149"/>
      <c r="J91" s="149"/>
      <c r="K91" s="149"/>
      <c r="L91" s="149"/>
      <c r="M91" s="164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</row>
    <row r="92" spans="1:28">
      <c r="A92" s="149"/>
      <c r="B92" s="149"/>
      <c r="C92" s="149"/>
      <c r="D92" s="149"/>
      <c r="E92" s="149"/>
      <c r="F92" s="149"/>
      <c r="G92" s="149"/>
      <c r="H92" s="13"/>
      <c r="I92" s="149"/>
      <c r="J92" s="149"/>
      <c r="K92" s="149"/>
      <c r="L92" s="149"/>
      <c r="M92" s="164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</row>
    <row r="93" spans="1:28">
      <c r="A93" s="149"/>
      <c r="B93" s="149"/>
      <c r="C93" s="149"/>
      <c r="D93" s="149"/>
      <c r="E93" s="149"/>
      <c r="F93" s="149"/>
      <c r="G93" s="149"/>
      <c r="H93" s="13"/>
      <c r="I93" s="149"/>
      <c r="J93" s="149"/>
      <c r="K93" s="149"/>
      <c r="L93" s="149"/>
      <c r="M93" s="164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</row>
    <row r="94" spans="1:28">
      <c r="A94" s="149"/>
      <c r="B94" s="149"/>
      <c r="C94" s="149"/>
      <c r="D94" s="149"/>
      <c r="E94" s="149"/>
      <c r="F94" s="149"/>
      <c r="G94" s="149"/>
      <c r="H94" s="13"/>
      <c r="I94" s="149"/>
      <c r="J94" s="149"/>
      <c r="K94" s="149"/>
      <c r="L94" s="149"/>
      <c r="M94" s="164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</row>
    <row r="95" spans="1:28">
      <c r="A95" s="149"/>
      <c r="B95" s="149"/>
      <c r="C95" s="149"/>
      <c r="D95" s="149"/>
      <c r="E95" s="149"/>
      <c r="F95" s="149"/>
      <c r="G95" s="149"/>
      <c r="H95" s="13"/>
      <c r="I95" s="149"/>
      <c r="J95" s="149"/>
      <c r="K95" s="149"/>
      <c r="L95" s="149"/>
      <c r="M95" s="164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</row>
    <row r="96" spans="1:28">
      <c r="A96" s="149"/>
      <c r="B96" s="149"/>
      <c r="C96" s="149"/>
      <c r="D96" s="149"/>
      <c r="E96" s="149"/>
      <c r="F96" s="149"/>
      <c r="G96" s="149"/>
      <c r="H96" s="13"/>
      <c r="I96" s="149"/>
      <c r="J96" s="149"/>
      <c r="K96" s="149"/>
      <c r="L96" s="149"/>
      <c r="M96" s="164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</row>
    <row r="97" spans="1:28">
      <c r="A97" s="149"/>
      <c r="B97" s="149"/>
      <c r="C97" s="149"/>
      <c r="D97" s="149"/>
      <c r="E97" s="149"/>
      <c r="F97" s="149"/>
      <c r="G97" s="149"/>
      <c r="H97" s="13"/>
      <c r="I97" s="149"/>
      <c r="J97" s="149"/>
      <c r="K97" s="149"/>
      <c r="L97" s="149"/>
      <c r="M97" s="164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</row>
    <row r="98" spans="1:28">
      <c r="A98" s="149"/>
      <c r="B98" s="149"/>
      <c r="C98" s="149"/>
      <c r="D98" s="149"/>
      <c r="E98" s="149"/>
      <c r="F98" s="149"/>
      <c r="G98" s="149"/>
      <c r="H98" s="13"/>
      <c r="I98" s="149"/>
      <c r="J98" s="149"/>
      <c r="K98" s="149"/>
      <c r="L98" s="149"/>
      <c r="M98" s="164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</row>
    <row r="99" spans="1:28">
      <c r="A99" s="149"/>
      <c r="B99" s="149"/>
      <c r="C99" s="149"/>
      <c r="D99" s="149"/>
      <c r="E99" s="149"/>
      <c r="F99" s="149"/>
      <c r="G99" s="149"/>
      <c r="H99" s="13"/>
      <c r="I99" s="149"/>
      <c r="J99" s="149"/>
      <c r="K99" s="149"/>
      <c r="L99" s="149"/>
      <c r="M99" s="164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</row>
    <row r="100" spans="1:28">
      <c r="A100" s="149"/>
      <c r="B100" s="149"/>
      <c r="C100" s="149"/>
      <c r="D100" s="149"/>
      <c r="E100" s="149"/>
      <c r="F100" s="149"/>
      <c r="G100" s="149"/>
      <c r="H100" s="13"/>
      <c r="I100" s="149"/>
      <c r="J100" s="149"/>
      <c r="K100" s="149"/>
      <c r="L100" s="149"/>
      <c r="M100" s="164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</row>
    <row r="101" spans="1:28">
      <c r="A101" s="149"/>
      <c r="B101" s="149"/>
      <c r="C101" s="149"/>
      <c r="D101" s="149"/>
      <c r="E101" s="149"/>
      <c r="F101" s="149"/>
      <c r="G101" s="149"/>
      <c r="H101" s="13"/>
      <c r="I101" s="149"/>
      <c r="J101" s="149"/>
      <c r="K101" s="149"/>
      <c r="L101" s="149"/>
      <c r="M101" s="164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</row>
    <row r="102" spans="1:28">
      <c r="A102" s="149"/>
      <c r="B102" s="149"/>
      <c r="C102" s="149"/>
      <c r="D102" s="149"/>
      <c r="E102" s="149"/>
      <c r="F102" s="149"/>
      <c r="G102" s="149"/>
      <c r="H102" s="13"/>
      <c r="I102" s="149"/>
      <c r="J102" s="149"/>
      <c r="K102" s="149"/>
      <c r="L102" s="149"/>
      <c r="M102" s="164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</row>
    <row r="103" spans="1:28">
      <c r="A103" s="149"/>
      <c r="B103" s="149"/>
      <c r="C103" s="149"/>
      <c r="D103" s="149"/>
      <c r="E103" s="149"/>
      <c r="F103" s="149"/>
      <c r="G103" s="149"/>
      <c r="H103" s="13"/>
      <c r="I103" s="149"/>
      <c r="J103" s="149"/>
      <c r="K103" s="149"/>
      <c r="L103" s="149"/>
      <c r="M103" s="164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</row>
    <row r="104" spans="1:28">
      <c r="A104" s="149"/>
      <c r="B104" s="149"/>
      <c r="C104" s="149"/>
      <c r="D104" s="149"/>
      <c r="E104" s="149"/>
      <c r="F104" s="149"/>
      <c r="G104" s="149"/>
      <c r="H104" s="13"/>
      <c r="I104" s="149"/>
      <c r="J104" s="149"/>
      <c r="K104" s="149"/>
      <c r="L104" s="149"/>
      <c r="M104" s="164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</row>
    <row r="105" spans="1:28">
      <c r="A105" s="149"/>
      <c r="B105" s="149"/>
      <c r="C105" s="149"/>
      <c r="D105" s="149"/>
      <c r="E105" s="149"/>
      <c r="F105" s="149"/>
      <c r="G105" s="149"/>
      <c r="H105" s="13"/>
      <c r="I105" s="149"/>
      <c r="J105" s="149"/>
      <c r="K105" s="149"/>
      <c r="L105" s="149"/>
      <c r="M105" s="164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</row>
    <row r="106" spans="1:28">
      <c r="A106" s="149"/>
      <c r="B106" s="149"/>
      <c r="C106" s="149"/>
      <c r="D106" s="149"/>
      <c r="E106" s="149"/>
      <c r="F106" s="149"/>
      <c r="G106" s="149"/>
      <c r="H106" s="13"/>
      <c r="I106" s="149"/>
      <c r="J106" s="149"/>
      <c r="K106" s="149"/>
      <c r="L106" s="149"/>
      <c r="M106" s="164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</row>
    <row r="107" spans="1:28">
      <c r="A107" s="149"/>
      <c r="B107" s="149"/>
      <c r="C107" s="149"/>
      <c r="D107" s="149"/>
      <c r="E107" s="149"/>
      <c r="F107" s="149"/>
      <c r="G107" s="149"/>
      <c r="H107" s="13"/>
      <c r="I107" s="149"/>
      <c r="J107" s="149"/>
      <c r="K107" s="149"/>
      <c r="L107" s="149"/>
      <c r="M107" s="164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</row>
    <row r="108" spans="1:28">
      <c r="A108" s="149"/>
      <c r="B108" s="149"/>
      <c r="C108" s="149"/>
      <c r="D108" s="149"/>
      <c r="E108" s="149"/>
      <c r="F108" s="149"/>
      <c r="G108" s="149"/>
      <c r="H108" s="13"/>
      <c r="I108" s="149"/>
      <c r="J108" s="149"/>
      <c r="K108" s="149"/>
      <c r="L108" s="149"/>
      <c r="M108" s="164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</row>
    <row r="109" spans="1:28">
      <c r="A109" s="149"/>
      <c r="B109" s="149"/>
      <c r="C109" s="149"/>
      <c r="D109" s="149"/>
      <c r="E109" s="149"/>
      <c r="F109" s="149"/>
      <c r="G109" s="149"/>
      <c r="H109" s="13"/>
      <c r="I109" s="149"/>
      <c r="J109" s="149"/>
      <c r="K109" s="149"/>
      <c r="L109" s="149"/>
      <c r="M109" s="164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</row>
    <row r="110" spans="1:28">
      <c r="A110" s="149"/>
      <c r="B110" s="149"/>
      <c r="C110" s="149"/>
      <c r="D110" s="149"/>
      <c r="E110" s="149"/>
      <c r="F110" s="149"/>
      <c r="G110" s="149"/>
      <c r="H110" s="13"/>
      <c r="I110" s="149"/>
      <c r="J110" s="149"/>
      <c r="K110" s="149"/>
      <c r="L110" s="149"/>
      <c r="M110" s="164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</row>
    <row r="111" spans="1:28">
      <c r="A111" s="149"/>
      <c r="B111" s="149"/>
      <c r="C111" s="149"/>
      <c r="D111" s="149"/>
      <c r="E111" s="149"/>
      <c r="F111" s="149"/>
      <c r="G111" s="149"/>
      <c r="H111" s="13"/>
      <c r="I111" s="149"/>
      <c r="J111" s="149"/>
      <c r="K111" s="149"/>
      <c r="L111" s="149"/>
      <c r="M111" s="164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</row>
    <row r="112" spans="1:28">
      <c r="A112" s="149"/>
      <c r="B112" s="149"/>
      <c r="C112" s="149"/>
      <c r="D112" s="149"/>
      <c r="E112" s="149"/>
      <c r="F112" s="149"/>
      <c r="G112" s="149"/>
      <c r="I112" s="149"/>
      <c r="J112" s="149"/>
      <c r="K112" s="149"/>
      <c r="L112" s="149"/>
      <c r="M112" s="164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</row>
    <row r="113" spans="1:28">
      <c r="A113" s="149"/>
      <c r="B113" s="149"/>
      <c r="C113" s="149"/>
      <c r="D113" s="149"/>
      <c r="E113" s="149"/>
      <c r="F113" s="149"/>
      <c r="G113" s="149"/>
      <c r="I113" s="149"/>
      <c r="J113" s="149"/>
      <c r="K113" s="149"/>
      <c r="L113" s="149"/>
      <c r="M113" s="164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</row>
  </sheetData>
  <sortState xmlns:xlrd2="http://schemas.microsoft.com/office/spreadsheetml/2017/richdata2" ref="A4:N81">
    <sortCondition descending="1" ref="L4:L81"/>
  </sortState>
  <mergeCells count="3">
    <mergeCell ref="C1:H1"/>
    <mergeCell ref="A2:M2"/>
    <mergeCell ref="B37:C37"/>
  </mergeCells>
  <pageMargins left="0.7" right="0.7" top="0.75" bottom="0.75" header="0.3" footer="0.3"/>
  <pageSetup scale="52" fitToHeight="0" orientation="landscape"/>
  <headerFooter>
    <oddHeader>&amp;R&amp;"Arial"&amp;12&amp;KB16D0A Document Classification: Public&amp;1#</oddHeader>
  </headerFooter>
  <colBreaks count="1" manualBreakCount="1">
    <brk id="13" max="1048575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121"/>
  <sheetViews>
    <sheetView workbookViewId="0">
      <pane xSplit="3" ySplit="4" topLeftCell="D5" activePane="bottomRight" state="frozen"/>
      <selection pane="topRight"/>
      <selection pane="bottomLeft"/>
      <selection pane="bottomRight" activeCell="H21" sqref="H21"/>
    </sheetView>
  </sheetViews>
  <sheetFormatPr defaultColWidth="9.33203125" defaultRowHeight="15.6"/>
  <cols>
    <col min="1" max="1" width="15.33203125" style="1" customWidth="1"/>
    <col min="2" max="2" width="7.33203125" style="1" customWidth="1"/>
    <col min="3" max="3" width="40.33203125" style="1" customWidth="1"/>
    <col min="4" max="4" width="18.33203125" style="1" customWidth="1"/>
    <col min="5" max="5" width="15.33203125" style="1" customWidth="1"/>
    <col min="6" max="6" width="13.33203125" style="1" customWidth="1"/>
    <col min="7" max="7" width="19.33203125" style="47" customWidth="1"/>
    <col min="8" max="8" width="16" style="46" customWidth="1"/>
    <col min="9" max="9" width="16.33203125" style="82" customWidth="1"/>
    <col min="10" max="10" width="15.33203125" style="82" customWidth="1"/>
    <col min="11" max="11" width="13.33203125" style="83" customWidth="1"/>
    <col min="12" max="12" width="15.33203125" style="16" customWidth="1"/>
    <col min="13" max="13" width="2.33203125" style="1" hidden="1" customWidth="1"/>
    <col min="14" max="16384" width="9.33203125" style="1"/>
  </cols>
  <sheetData>
    <row r="1" spans="1:17" ht="70.349999999999994" customHeight="1">
      <c r="A1" s="149"/>
      <c r="B1" s="3"/>
      <c r="C1" s="3"/>
      <c r="D1" s="3"/>
      <c r="E1" s="3"/>
      <c r="F1" s="3"/>
      <c r="G1" s="3"/>
      <c r="H1" s="3"/>
      <c r="I1" s="103"/>
      <c r="J1" s="103"/>
      <c r="K1" s="3"/>
      <c r="L1" s="3"/>
      <c r="M1" s="3"/>
      <c r="N1" s="149"/>
      <c r="O1" s="149"/>
      <c r="P1" s="149"/>
      <c r="Q1" s="149"/>
    </row>
    <row r="2" spans="1:17" ht="32.85" customHeight="1">
      <c r="A2" s="149"/>
      <c r="B2" s="274" t="s">
        <v>21</v>
      </c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3"/>
      <c r="N2" s="149"/>
      <c r="O2" s="149"/>
      <c r="P2" s="149"/>
      <c r="Q2" s="149"/>
    </row>
    <row r="3" spans="1:17" ht="15.75" customHeight="1" thickBot="1">
      <c r="A3" s="149"/>
      <c r="B3" s="3"/>
      <c r="C3" s="112" t="str">
        <f>SUMMARY!A3</f>
        <v>Date: Wednesday, 05 August, 2026</v>
      </c>
      <c r="D3" s="5"/>
      <c r="E3" s="5"/>
      <c r="F3" s="5"/>
      <c r="G3" s="5"/>
      <c r="H3" s="5"/>
      <c r="I3" s="103"/>
      <c r="J3" s="103"/>
      <c r="K3" s="5"/>
      <c r="L3" s="5"/>
      <c r="M3" s="5"/>
      <c r="N3" s="149"/>
      <c r="O3" s="149"/>
      <c r="P3" s="149"/>
      <c r="Q3" s="149"/>
    </row>
    <row r="4" spans="1:17" ht="73.5" customHeight="1">
      <c r="A4" s="3" t="s">
        <v>175</v>
      </c>
      <c r="B4" s="84" t="s">
        <v>44</v>
      </c>
      <c r="C4" s="85" t="s">
        <v>24</v>
      </c>
      <c r="D4" s="86" t="s">
        <v>25</v>
      </c>
      <c r="E4" s="87" t="s">
        <v>176</v>
      </c>
      <c r="F4" s="88" t="s">
        <v>177</v>
      </c>
      <c r="G4" s="89" t="s">
        <v>178</v>
      </c>
      <c r="H4" s="90" t="s">
        <v>30</v>
      </c>
      <c r="I4" s="58" t="s">
        <v>31</v>
      </c>
      <c r="J4" s="124" t="s">
        <v>32</v>
      </c>
      <c r="K4" s="104" t="s">
        <v>179</v>
      </c>
      <c r="L4" s="105" t="s">
        <v>34</v>
      </c>
      <c r="M4" s="106" t="s">
        <v>35</v>
      </c>
      <c r="N4" s="149"/>
      <c r="O4" s="149"/>
      <c r="P4" s="149"/>
      <c r="Q4" s="139"/>
    </row>
    <row r="5" spans="1:17" ht="15.6" customHeight="1">
      <c r="A5" s="279" t="s">
        <v>180</v>
      </c>
      <c r="B5" s="248">
        <v>1</v>
      </c>
      <c r="C5" s="227" t="s">
        <v>181</v>
      </c>
      <c r="D5" s="235" t="s">
        <v>182</v>
      </c>
      <c r="E5" s="91">
        <v>85.503699999999995</v>
      </c>
      <c r="F5" s="91">
        <v>85.503699999999995</v>
      </c>
      <c r="G5" s="265"/>
      <c r="H5" s="226"/>
      <c r="I5" s="230">
        <v>85.503699999999995</v>
      </c>
      <c r="J5" s="230">
        <v>85.503699999999995</v>
      </c>
      <c r="K5" s="252">
        <f t="shared" ref="K5:K22" ca="1" si="0">L5-TODAY()</f>
        <v>41</v>
      </c>
      <c r="L5" s="266">
        <v>46280</v>
      </c>
      <c r="M5" s="178"/>
      <c r="N5" s="149"/>
      <c r="O5" s="149"/>
      <c r="P5" s="149"/>
      <c r="Q5" s="139"/>
    </row>
    <row r="6" spans="1:17">
      <c r="A6" s="279"/>
      <c r="B6" s="248">
        <v>3</v>
      </c>
      <c r="C6" s="179" t="s">
        <v>183</v>
      </c>
      <c r="D6" s="180" t="s">
        <v>184</v>
      </c>
      <c r="E6" s="92">
        <v>98.459100000000007</v>
      </c>
      <c r="F6" s="92">
        <v>98.459100000000007</v>
      </c>
      <c r="G6" s="267"/>
      <c r="H6" s="93"/>
      <c r="I6" s="80">
        <v>98.459100000000007</v>
      </c>
      <c r="J6" s="80">
        <v>98.459100000000007</v>
      </c>
      <c r="K6" s="252">
        <f t="shared" ca="1" si="0"/>
        <v>428</v>
      </c>
      <c r="L6" s="266">
        <v>46667</v>
      </c>
      <c r="M6" s="149"/>
      <c r="N6" s="149"/>
      <c r="O6" s="149"/>
      <c r="P6" s="149"/>
      <c r="Q6" s="149"/>
    </row>
    <row r="7" spans="1:17">
      <c r="A7" s="279"/>
      <c r="B7" s="248">
        <v>2</v>
      </c>
      <c r="C7" s="179" t="s">
        <v>185</v>
      </c>
      <c r="D7" s="180" t="s">
        <v>186</v>
      </c>
      <c r="E7" s="92"/>
      <c r="F7" s="92"/>
      <c r="G7" s="267"/>
      <c r="H7" s="93"/>
      <c r="I7" s="80"/>
      <c r="J7" s="80"/>
      <c r="K7" s="252">
        <v>672</v>
      </c>
      <c r="L7" s="266">
        <v>46825</v>
      </c>
      <c r="M7" s="149"/>
      <c r="N7" s="149"/>
      <c r="O7" s="149"/>
      <c r="P7" s="149"/>
      <c r="Q7" s="149"/>
    </row>
    <row r="8" spans="1:17">
      <c r="A8" s="279"/>
      <c r="B8" s="248">
        <v>4</v>
      </c>
      <c r="C8" s="179" t="s">
        <v>187</v>
      </c>
      <c r="D8" s="180" t="s">
        <v>188</v>
      </c>
      <c r="E8" s="92">
        <v>110.79389999999999</v>
      </c>
      <c r="F8" s="92">
        <v>110.79389999999999</v>
      </c>
      <c r="G8" s="255"/>
      <c r="H8" s="251"/>
      <c r="I8" s="80">
        <v>110.79389999999999</v>
      </c>
      <c r="J8" s="80">
        <v>110.79389999999999</v>
      </c>
      <c r="K8" s="252">
        <f t="shared" ca="1" si="0"/>
        <v>1156</v>
      </c>
      <c r="L8" s="266">
        <v>47395</v>
      </c>
      <c r="M8" s="149"/>
      <c r="N8" s="149"/>
      <c r="O8" s="149"/>
      <c r="P8" s="149"/>
      <c r="Q8" s="149"/>
    </row>
    <row r="9" spans="1:17">
      <c r="A9" s="279"/>
      <c r="B9" s="248">
        <v>5</v>
      </c>
      <c r="C9" s="179" t="s">
        <v>189</v>
      </c>
      <c r="D9" s="180" t="s">
        <v>190</v>
      </c>
      <c r="E9" s="92">
        <v>105.56513338898201</v>
      </c>
      <c r="F9" s="92">
        <v>105.56513338898201</v>
      </c>
      <c r="G9" s="72"/>
      <c r="H9" s="79"/>
      <c r="I9" s="92">
        <v>105.56513338898201</v>
      </c>
      <c r="J9" s="92">
        <v>105.56513338898201</v>
      </c>
      <c r="K9" s="252">
        <f t="shared" ref="K9:K10" ca="1" si="1">L9-TODAY()</f>
        <v>971</v>
      </c>
      <c r="L9" s="266">
        <v>47210</v>
      </c>
      <c r="M9" s="149"/>
      <c r="N9" s="149"/>
      <c r="O9" s="149"/>
      <c r="P9" s="149"/>
      <c r="Q9" s="149"/>
    </row>
    <row r="10" spans="1:17">
      <c r="A10" s="279"/>
      <c r="B10" s="248">
        <v>6</v>
      </c>
      <c r="C10" s="179" t="s">
        <v>191</v>
      </c>
      <c r="D10" s="180" t="s">
        <v>192</v>
      </c>
      <c r="E10" s="92"/>
      <c r="F10" s="92"/>
      <c r="G10" s="72"/>
      <c r="H10" s="79"/>
      <c r="I10" s="80"/>
      <c r="J10" s="80"/>
      <c r="K10" s="252">
        <f t="shared" ca="1" si="1"/>
        <v>1335</v>
      </c>
      <c r="L10" s="181">
        <v>47574</v>
      </c>
      <c r="M10" s="149"/>
      <c r="N10" s="149"/>
      <c r="O10" s="149"/>
      <c r="P10" s="149"/>
      <c r="Q10" s="149"/>
    </row>
    <row r="11" spans="1:17">
      <c r="A11" s="182"/>
      <c r="B11" s="94"/>
      <c r="C11" s="179"/>
      <c r="D11" s="180"/>
      <c r="E11" s="183"/>
      <c r="F11" s="92"/>
      <c r="G11" s="95"/>
      <c r="H11" s="96"/>
      <c r="I11" s="80"/>
      <c r="J11" s="80"/>
      <c r="K11" s="252"/>
      <c r="L11" s="184"/>
      <c r="M11" s="227"/>
      <c r="N11" s="149"/>
      <c r="O11" s="149"/>
      <c r="P11" s="149"/>
      <c r="Q11" s="149"/>
    </row>
    <row r="12" spans="1:17">
      <c r="A12" s="279" t="s">
        <v>193</v>
      </c>
      <c r="B12" s="7">
        <v>1</v>
      </c>
      <c r="C12" s="227" t="s">
        <v>194</v>
      </c>
      <c r="D12" s="235" t="s">
        <v>195</v>
      </c>
      <c r="E12" s="91">
        <v>99.865700000000004</v>
      </c>
      <c r="F12" s="91">
        <v>99.865700000000004</v>
      </c>
      <c r="G12" s="267"/>
      <c r="H12" s="251"/>
      <c r="I12" s="91">
        <v>99.865700000000004</v>
      </c>
      <c r="J12" s="230">
        <v>99.865700000000004</v>
      </c>
      <c r="K12" s="252">
        <f t="shared" ca="1" si="0"/>
        <v>-40</v>
      </c>
      <c r="L12" s="268">
        <v>46199</v>
      </c>
      <c r="M12" s="227"/>
      <c r="N12" s="149"/>
      <c r="O12" s="149"/>
      <c r="P12" s="149"/>
      <c r="Q12" s="149"/>
    </row>
    <row r="13" spans="1:17">
      <c r="A13" s="279"/>
      <c r="B13" s="7">
        <v>2</v>
      </c>
      <c r="C13" s="149" t="s">
        <v>196</v>
      </c>
      <c r="D13" s="235" t="s">
        <v>197</v>
      </c>
      <c r="E13" s="185"/>
      <c r="F13" s="149"/>
      <c r="G13" s="97"/>
      <c r="H13" s="269"/>
      <c r="I13" s="270"/>
      <c r="J13" s="270"/>
      <c r="K13" s="252">
        <f t="shared" ca="1" si="0"/>
        <v>45</v>
      </c>
      <c r="L13" s="107">
        <v>46284</v>
      </c>
      <c r="M13" s="149"/>
      <c r="N13" s="149"/>
      <c r="O13" s="149"/>
      <c r="P13" s="149"/>
      <c r="Q13" s="149"/>
    </row>
    <row r="14" spans="1:17">
      <c r="A14" s="279"/>
      <c r="B14" s="7">
        <v>3</v>
      </c>
      <c r="C14" s="227" t="s">
        <v>198</v>
      </c>
      <c r="D14" s="235" t="s">
        <v>199</v>
      </c>
      <c r="E14" s="230"/>
      <c r="F14" s="230"/>
      <c r="G14" s="267"/>
      <c r="H14" s="251"/>
      <c r="I14" s="230"/>
      <c r="J14" s="230"/>
      <c r="K14" s="252">
        <f t="shared" ca="1" si="0"/>
        <v>73</v>
      </c>
      <c r="L14" s="108">
        <v>46312</v>
      </c>
      <c r="M14" s="173"/>
      <c r="N14" s="149"/>
      <c r="O14" s="149"/>
      <c r="P14" s="149"/>
      <c r="Q14" s="149"/>
    </row>
    <row r="15" spans="1:17">
      <c r="A15" s="279"/>
      <c r="B15" s="7">
        <v>4</v>
      </c>
      <c r="C15" s="227" t="s">
        <v>200</v>
      </c>
      <c r="D15" s="235" t="s">
        <v>201</v>
      </c>
      <c r="E15" s="92">
        <v>102.76819999999999</v>
      </c>
      <c r="F15" s="92">
        <v>102.76819999999999</v>
      </c>
      <c r="G15" s="267"/>
      <c r="H15" s="79"/>
      <c r="I15" s="80">
        <v>102.76819999999999</v>
      </c>
      <c r="J15" s="80">
        <v>102.76819999999999</v>
      </c>
      <c r="K15" s="252">
        <f t="shared" ca="1" si="0"/>
        <v>355</v>
      </c>
      <c r="L15" s="109">
        <v>46594</v>
      </c>
      <c r="M15" s="173"/>
      <c r="N15" s="149"/>
      <c r="O15" s="149"/>
      <c r="P15" s="149"/>
      <c r="Q15" s="149"/>
    </row>
    <row r="16" spans="1:17">
      <c r="A16" s="279"/>
      <c r="B16" s="7">
        <v>5</v>
      </c>
      <c r="C16" s="227" t="s">
        <v>202</v>
      </c>
      <c r="D16" s="235" t="s">
        <v>203</v>
      </c>
      <c r="E16" s="92"/>
      <c r="F16" s="92"/>
      <c r="G16" s="267"/>
      <c r="H16" s="79"/>
      <c r="I16" s="80"/>
      <c r="J16" s="230"/>
      <c r="K16" s="252">
        <f t="shared" ca="1" si="0"/>
        <v>719</v>
      </c>
      <c r="L16" s="110">
        <v>46958</v>
      </c>
      <c r="M16" s="173"/>
      <c r="N16" s="149"/>
      <c r="O16" s="149"/>
      <c r="P16" s="149"/>
      <c r="Q16" s="149"/>
    </row>
    <row r="17" spans="1:13">
      <c r="A17" s="279"/>
      <c r="B17" s="7">
        <v>6</v>
      </c>
      <c r="C17" s="227" t="s">
        <v>204</v>
      </c>
      <c r="D17" s="235" t="s">
        <v>205</v>
      </c>
      <c r="E17" s="92">
        <v>103.13079999999999</v>
      </c>
      <c r="F17" s="92">
        <v>103.13079999999999</v>
      </c>
      <c r="G17" s="267"/>
      <c r="H17" s="79"/>
      <c r="I17" s="80">
        <v>103.13079999999999</v>
      </c>
      <c r="J17" s="80">
        <v>103.13079999999999</v>
      </c>
      <c r="K17" s="252">
        <f t="shared" ca="1" si="0"/>
        <v>453</v>
      </c>
      <c r="L17" s="110">
        <v>46692</v>
      </c>
      <c r="M17" s="173"/>
    </row>
    <row r="18" spans="1:13">
      <c r="A18" s="279"/>
      <c r="B18" s="7">
        <v>7</v>
      </c>
      <c r="C18" s="227" t="s">
        <v>206</v>
      </c>
      <c r="D18" s="185" t="s">
        <v>207</v>
      </c>
      <c r="E18" s="92">
        <v>99.919391703296697</v>
      </c>
      <c r="F18" s="92">
        <v>99.919391703296697</v>
      </c>
      <c r="G18" s="140"/>
      <c r="H18" s="141"/>
      <c r="I18" s="92">
        <v>99.919391703296697</v>
      </c>
      <c r="J18" s="92">
        <v>99.919391703296697</v>
      </c>
      <c r="K18" s="186"/>
      <c r="L18" s="110">
        <v>47700</v>
      </c>
      <c r="M18" s="227"/>
    </row>
    <row r="19" spans="1:13">
      <c r="A19" s="182"/>
      <c r="B19" s="7"/>
      <c r="C19" s="179"/>
      <c r="D19" s="180"/>
      <c r="E19" s="92"/>
      <c r="F19" s="92"/>
      <c r="G19" s="76"/>
      <c r="H19" s="79"/>
      <c r="I19" s="80"/>
      <c r="J19" s="80"/>
      <c r="K19" s="187"/>
      <c r="L19" s="184"/>
      <c r="M19" s="227"/>
    </row>
    <row r="20" spans="1:13" ht="16.5" customHeight="1">
      <c r="A20" s="279" t="s">
        <v>208</v>
      </c>
      <c r="B20" s="7">
        <v>1</v>
      </c>
      <c r="C20" s="227" t="s">
        <v>209</v>
      </c>
      <c r="D20" s="235" t="s">
        <v>210</v>
      </c>
      <c r="E20" s="92">
        <v>99.863800010000006</v>
      </c>
      <c r="F20" s="92">
        <v>92.735314033318801</v>
      </c>
      <c r="G20" s="267"/>
      <c r="H20" s="93"/>
      <c r="I20" s="80"/>
      <c r="J20" s="80">
        <v>99.968699714285705</v>
      </c>
      <c r="K20" s="252">
        <v>455</v>
      </c>
      <c r="L20" s="188">
        <v>46265</v>
      </c>
      <c r="M20" s="188"/>
    </row>
    <row r="21" spans="1:13">
      <c r="A21" s="279"/>
      <c r="B21" s="7">
        <v>2</v>
      </c>
      <c r="C21" s="227" t="s">
        <v>211</v>
      </c>
      <c r="D21" s="235" t="s">
        <v>212</v>
      </c>
      <c r="E21" s="92">
        <v>101.496</v>
      </c>
      <c r="F21" s="221">
        <v>101.54979942857101</v>
      </c>
      <c r="G21" s="267">
        <v>500000</v>
      </c>
      <c r="H21" s="93">
        <v>1</v>
      </c>
      <c r="I21" s="92">
        <v>101.77460000000001</v>
      </c>
      <c r="J21" s="92">
        <v>98.986999999999995</v>
      </c>
      <c r="K21" s="252">
        <v>766</v>
      </c>
      <c r="L21" s="188">
        <v>46629</v>
      </c>
      <c r="M21" s="188"/>
    </row>
    <row r="22" spans="1:13">
      <c r="A22" s="279"/>
      <c r="B22" s="7">
        <v>3</v>
      </c>
      <c r="C22" s="227" t="s">
        <v>213</v>
      </c>
      <c r="D22" s="235" t="s">
        <v>214</v>
      </c>
      <c r="E22" s="92">
        <v>102.1396</v>
      </c>
      <c r="F22" s="92">
        <v>102.12680020000001</v>
      </c>
      <c r="G22" s="267">
        <v>1700000</v>
      </c>
      <c r="H22" s="93">
        <v>2</v>
      </c>
      <c r="I22" s="92">
        <v>102.1396</v>
      </c>
      <c r="J22" s="92">
        <v>102.1396</v>
      </c>
      <c r="K22" s="252">
        <f t="shared" ca="1" si="0"/>
        <v>754</v>
      </c>
      <c r="L22" s="188">
        <v>46993</v>
      </c>
      <c r="M22" s="188"/>
    </row>
    <row r="23" spans="1:13">
      <c r="A23" s="182"/>
      <c r="B23" s="7"/>
      <c r="C23" s="227"/>
      <c r="D23" s="235"/>
      <c r="E23" s="92"/>
      <c r="F23" s="92"/>
      <c r="G23" s="267"/>
      <c r="H23" s="93"/>
      <c r="I23" s="80"/>
      <c r="J23" s="80"/>
      <c r="K23" s="252"/>
      <c r="L23" s="188"/>
      <c r="M23" s="188"/>
    </row>
    <row r="24" spans="1:13">
      <c r="A24" s="280" t="s">
        <v>215</v>
      </c>
      <c r="B24" s="98">
        <v>1</v>
      </c>
      <c r="C24" s="99" t="s">
        <v>216</v>
      </c>
      <c r="D24" s="148" t="s">
        <v>217</v>
      </c>
      <c r="E24" s="91">
        <v>101.5771</v>
      </c>
      <c r="F24" s="91">
        <v>101.5771</v>
      </c>
      <c r="G24" s="267"/>
      <c r="H24" s="251"/>
      <c r="I24" s="230">
        <v>101.5771</v>
      </c>
      <c r="J24" s="230">
        <v>101.5771</v>
      </c>
      <c r="K24" s="252">
        <f t="shared" ref="K24:K31" ca="1" si="2">L24-TODAY()</f>
        <v>217</v>
      </c>
      <c r="L24" s="268">
        <v>46456</v>
      </c>
      <c r="M24" s="188"/>
    </row>
    <row r="25" spans="1:13">
      <c r="A25" s="280"/>
      <c r="B25" s="98">
        <v>2</v>
      </c>
      <c r="C25" s="99" t="s">
        <v>218</v>
      </c>
      <c r="D25" s="148" t="s">
        <v>219</v>
      </c>
      <c r="E25" s="91">
        <v>99.938186813186803</v>
      </c>
      <c r="F25" s="91">
        <v>99.938186813186803</v>
      </c>
      <c r="G25" s="267"/>
      <c r="H25" s="251"/>
      <c r="I25" s="230">
        <v>99.938186813186803</v>
      </c>
      <c r="J25" s="230">
        <v>99.938186813186803</v>
      </c>
      <c r="K25" s="252">
        <f t="shared" ca="1" si="2"/>
        <v>246</v>
      </c>
      <c r="L25" s="268">
        <v>46485</v>
      </c>
      <c r="M25" s="188"/>
    </row>
    <row r="26" spans="1:13">
      <c r="A26" s="280"/>
      <c r="B26" s="98">
        <v>3</v>
      </c>
      <c r="C26" s="99" t="s">
        <v>220</v>
      </c>
      <c r="D26" s="148" t="s">
        <v>221</v>
      </c>
      <c r="E26" s="91"/>
      <c r="F26" s="91"/>
      <c r="G26" s="267"/>
      <c r="H26" s="251"/>
      <c r="I26" s="230"/>
      <c r="J26" s="230"/>
      <c r="K26" s="252">
        <f t="shared" ca="1" si="2"/>
        <v>247</v>
      </c>
      <c r="L26" s="268">
        <v>46486</v>
      </c>
      <c r="M26" s="188"/>
    </row>
    <row r="27" spans="1:13">
      <c r="A27" s="182"/>
      <c r="B27" s="7"/>
      <c r="C27" s="149"/>
      <c r="D27" s="235"/>
      <c r="E27" s="91"/>
      <c r="F27" s="91"/>
      <c r="G27" s="267"/>
      <c r="H27" s="251"/>
      <c r="I27" s="230"/>
      <c r="J27" s="230"/>
      <c r="K27" s="252"/>
      <c r="L27" s="268"/>
      <c r="M27" s="188"/>
    </row>
    <row r="28" spans="1:13">
      <c r="A28" s="279" t="s">
        <v>222</v>
      </c>
      <c r="B28" s="7">
        <v>1</v>
      </c>
      <c r="C28" s="99" t="s">
        <v>223</v>
      </c>
      <c r="D28" s="235" t="s">
        <v>224</v>
      </c>
      <c r="E28" s="91"/>
      <c r="F28" s="91"/>
      <c r="G28" s="267"/>
      <c r="H28" s="251"/>
      <c r="I28" s="230"/>
      <c r="J28" s="230"/>
      <c r="K28" s="252">
        <f t="shared" ca="1" si="2"/>
        <v>177</v>
      </c>
      <c r="L28" s="268">
        <v>46416</v>
      </c>
      <c r="M28" s="188"/>
    </row>
    <row r="29" spans="1:13">
      <c r="A29" s="279"/>
      <c r="B29" s="7">
        <v>2</v>
      </c>
      <c r="C29" s="227" t="s">
        <v>225</v>
      </c>
      <c r="D29" s="235" t="s">
        <v>226</v>
      </c>
      <c r="E29" s="91">
        <v>99.805700915750904</v>
      </c>
      <c r="F29" s="91">
        <v>99.805700915750904</v>
      </c>
      <c r="G29" s="267"/>
      <c r="H29" s="251"/>
      <c r="I29" s="230">
        <v>99.805700915750904</v>
      </c>
      <c r="J29" s="230">
        <v>99.805700915750904</v>
      </c>
      <c r="K29" s="252">
        <f t="shared" ca="1" si="2"/>
        <v>769</v>
      </c>
      <c r="L29" s="268">
        <v>47008</v>
      </c>
      <c r="M29" s="227"/>
    </row>
    <row r="30" spans="1:13">
      <c r="A30" s="182"/>
      <c r="B30" s="11"/>
      <c r="C30" s="190"/>
      <c r="D30" s="155"/>
      <c r="E30" s="191"/>
      <c r="F30" s="91"/>
      <c r="G30" s="100"/>
      <c r="H30" s="226"/>
      <c r="I30" s="192"/>
      <c r="J30" s="192"/>
      <c r="K30" s="252"/>
      <c r="L30" s="193"/>
      <c r="M30" s="190"/>
    </row>
    <row r="31" spans="1:13" ht="16.2" thickBot="1">
      <c r="A31" s="101" t="s">
        <v>227</v>
      </c>
      <c r="B31" s="11">
        <v>1</v>
      </c>
      <c r="C31" s="190" t="s">
        <v>228</v>
      </c>
      <c r="D31" s="155" t="s">
        <v>229</v>
      </c>
      <c r="E31" s="230">
        <v>40.963299999999997</v>
      </c>
      <c r="F31" s="230">
        <v>40.963299999999997</v>
      </c>
      <c r="G31" s="267"/>
      <c r="H31" s="271"/>
      <c r="I31" s="68">
        <v>40.963299999999997</v>
      </c>
      <c r="J31" s="68">
        <v>40.963299999999997</v>
      </c>
      <c r="K31" s="252">
        <f t="shared" ca="1" si="2"/>
        <v>575</v>
      </c>
      <c r="L31" s="193">
        <v>46814</v>
      </c>
      <c r="M31" s="194">
        <v>43811</v>
      </c>
    </row>
    <row r="32" spans="1:13" ht="15.75" customHeight="1" thickTop="1" thickBot="1">
      <c r="A32" s="195"/>
      <c r="B32" s="162"/>
      <c r="C32" s="12" t="s">
        <v>39</v>
      </c>
      <c r="D32" s="162"/>
      <c r="E32" s="196"/>
      <c r="F32" s="174"/>
      <c r="G32" s="102">
        <f>SUM(G5:G31)</f>
        <v>2200000</v>
      </c>
      <c r="H32" s="102">
        <f>SUM(H5:H31)</f>
        <v>3</v>
      </c>
      <c r="I32" s="197"/>
      <c r="J32" s="197"/>
      <c r="K32" s="198"/>
      <c r="L32" s="177"/>
      <c r="M32" s="199"/>
    </row>
    <row r="33" spans="3:10" ht="16.2" thickTop="1">
      <c r="C33" s="41" t="s">
        <v>230</v>
      </c>
      <c r="D33" s="149"/>
      <c r="E33" s="149"/>
      <c r="F33" s="149"/>
      <c r="G33" s="62"/>
      <c r="I33" s="200"/>
      <c r="J33" s="200"/>
    </row>
    <row r="34" spans="3:10">
      <c r="C34" s="149"/>
      <c r="D34" s="149"/>
      <c r="E34" s="149"/>
      <c r="F34" s="149"/>
      <c r="G34" s="62"/>
      <c r="I34" s="200"/>
      <c r="J34" s="200"/>
    </row>
    <row r="35" spans="3:10">
      <c r="C35" s="278"/>
      <c r="D35" s="278"/>
      <c r="E35" s="149"/>
      <c r="F35" s="149"/>
      <c r="G35" s="62"/>
      <c r="I35" s="200"/>
      <c r="J35" s="200"/>
    </row>
    <row r="36" spans="3:10">
      <c r="C36" s="149"/>
      <c r="D36" s="149"/>
      <c r="E36" s="149"/>
      <c r="F36" s="149"/>
      <c r="G36" s="62"/>
      <c r="I36" s="200"/>
      <c r="J36" s="200"/>
    </row>
    <row r="37" spans="3:10">
      <c r="C37" s="149"/>
      <c r="D37" s="149"/>
      <c r="E37" s="149"/>
      <c r="F37" s="149"/>
      <c r="G37" s="62"/>
      <c r="I37" s="200"/>
      <c r="J37" s="200"/>
    </row>
    <row r="38" spans="3:10">
      <c r="C38" s="149"/>
      <c r="D38" s="149"/>
      <c r="E38" s="149"/>
      <c r="F38" s="149"/>
      <c r="G38" s="62"/>
      <c r="I38" s="200"/>
      <c r="J38" s="200"/>
    </row>
    <row r="39" spans="3:10">
      <c r="C39" s="149"/>
      <c r="D39" s="149"/>
      <c r="E39" s="149"/>
      <c r="F39" s="149"/>
      <c r="G39" s="62"/>
      <c r="I39" s="200"/>
      <c r="J39" s="200"/>
    </row>
    <row r="40" spans="3:10">
      <c r="C40" s="149"/>
      <c r="D40" s="149"/>
      <c r="E40" s="149"/>
      <c r="F40" s="149"/>
      <c r="G40" s="62"/>
      <c r="I40" s="200"/>
      <c r="J40" s="200"/>
    </row>
    <row r="41" spans="3:10">
      <c r="C41" s="149"/>
      <c r="D41" s="149"/>
      <c r="E41" s="149"/>
      <c r="F41" s="149"/>
      <c r="G41" s="62"/>
      <c r="I41" s="200"/>
      <c r="J41" s="200"/>
    </row>
    <row r="42" spans="3:10">
      <c r="C42" s="149"/>
      <c r="D42" s="149"/>
      <c r="E42" s="149"/>
      <c r="F42" s="149"/>
      <c r="G42" s="62"/>
      <c r="I42" s="200"/>
      <c r="J42" s="200"/>
    </row>
    <row r="43" spans="3:10">
      <c r="C43" s="149"/>
      <c r="D43" s="149"/>
      <c r="E43" s="149"/>
      <c r="F43" s="149"/>
      <c r="G43" s="62"/>
      <c r="I43" s="200"/>
      <c r="J43" s="200"/>
    </row>
    <row r="44" spans="3:10">
      <c r="C44" s="149"/>
      <c r="D44" s="149"/>
      <c r="E44" s="149"/>
      <c r="F44" s="149"/>
      <c r="G44" s="62"/>
      <c r="I44" s="200"/>
      <c r="J44" s="200"/>
    </row>
    <row r="45" spans="3:10">
      <c r="C45" s="149"/>
      <c r="D45" s="149"/>
      <c r="E45" s="149"/>
      <c r="F45" s="149"/>
      <c r="G45" s="62"/>
      <c r="I45" s="200"/>
      <c r="J45" s="200"/>
    </row>
    <row r="46" spans="3:10">
      <c r="C46" s="149"/>
      <c r="D46" s="149"/>
      <c r="E46" s="149"/>
      <c r="F46" s="149"/>
      <c r="G46" s="62"/>
      <c r="I46" s="200"/>
      <c r="J46" s="200"/>
    </row>
    <row r="47" spans="3:10">
      <c r="C47" s="149"/>
      <c r="D47" s="149"/>
      <c r="E47" s="149"/>
      <c r="F47" s="149"/>
      <c r="G47" s="62"/>
      <c r="I47" s="200"/>
      <c r="J47" s="200"/>
    </row>
    <row r="48" spans="3:10">
      <c r="C48" s="149"/>
      <c r="D48" s="149"/>
      <c r="E48" s="149"/>
      <c r="F48" s="149"/>
      <c r="G48" s="62"/>
      <c r="I48" s="200"/>
      <c r="J48" s="200"/>
    </row>
    <row r="49" spans="7:10">
      <c r="G49" s="62"/>
      <c r="I49" s="200"/>
      <c r="J49" s="200"/>
    </row>
    <row r="50" spans="7:10">
      <c r="G50" s="62"/>
      <c r="I50" s="200"/>
      <c r="J50" s="200"/>
    </row>
    <row r="51" spans="7:10">
      <c r="G51" s="62"/>
      <c r="I51" s="200"/>
      <c r="J51" s="200"/>
    </row>
    <row r="52" spans="7:10">
      <c r="G52" s="62"/>
      <c r="I52" s="200"/>
      <c r="J52" s="200"/>
    </row>
    <row r="53" spans="7:10">
      <c r="G53" s="62"/>
      <c r="I53" s="200"/>
      <c r="J53" s="200"/>
    </row>
    <row r="54" spans="7:10">
      <c r="G54" s="62"/>
      <c r="I54" s="200"/>
      <c r="J54" s="200"/>
    </row>
    <row r="55" spans="7:10">
      <c r="G55" s="62"/>
      <c r="I55" s="200"/>
      <c r="J55" s="200"/>
    </row>
    <row r="56" spans="7:10">
      <c r="G56" s="62"/>
      <c r="I56" s="200"/>
      <c r="J56" s="200"/>
    </row>
    <row r="57" spans="7:10">
      <c r="G57" s="62"/>
      <c r="I57" s="200"/>
      <c r="J57" s="200"/>
    </row>
    <row r="58" spans="7:10">
      <c r="G58" s="62"/>
      <c r="I58" s="200"/>
      <c r="J58" s="200"/>
    </row>
    <row r="59" spans="7:10">
      <c r="G59" s="62"/>
      <c r="I59" s="200"/>
      <c r="J59" s="200"/>
    </row>
    <row r="60" spans="7:10">
      <c r="G60" s="62"/>
      <c r="I60" s="200"/>
      <c r="J60" s="200"/>
    </row>
    <row r="61" spans="7:10">
      <c r="G61" s="62"/>
      <c r="I61" s="200"/>
      <c r="J61" s="200"/>
    </row>
    <row r="62" spans="7:10">
      <c r="G62" s="62"/>
      <c r="I62" s="200"/>
      <c r="J62" s="200"/>
    </row>
    <row r="63" spans="7:10">
      <c r="G63" s="62"/>
      <c r="I63" s="200"/>
      <c r="J63" s="200"/>
    </row>
    <row r="64" spans="7:10">
      <c r="G64" s="62"/>
      <c r="I64" s="200"/>
      <c r="J64" s="200"/>
    </row>
    <row r="65" spans="7:10">
      <c r="G65" s="62"/>
      <c r="I65" s="200"/>
      <c r="J65" s="200"/>
    </row>
    <row r="66" spans="7:10">
      <c r="G66" s="62"/>
      <c r="I66" s="200"/>
      <c r="J66" s="200"/>
    </row>
    <row r="67" spans="7:10">
      <c r="G67" s="62"/>
      <c r="I67" s="200"/>
      <c r="J67" s="200"/>
    </row>
    <row r="68" spans="7:10">
      <c r="G68" s="62"/>
      <c r="I68" s="200"/>
      <c r="J68" s="200"/>
    </row>
    <row r="69" spans="7:10">
      <c r="G69" s="62"/>
      <c r="I69" s="200"/>
      <c r="J69" s="200"/>
    </row>
    <row r="70" spans="7:10">
      <c r="G70" s="62"/>
      <c r="I70" s="200"/>
      <c r="J70" s="200"/>
    </row>
    <row r="71" spans="7:10">
      <c r="G71" s="62"/>
      <c r="I71" s="200"/>
      <c r="J71" s="200"/>
    </row>
    <row r="72" spans="7:10">
      <c r="G72" s="62"/>
      <c r="I72" s="200"/>
      <c r="J72" s="200"/>
    </row>
    <row r="73" spans="7:10">
      <c r="G73" s="62"/>
      <c r="I73" s="200"/>
      <c r="J73" s="200"/>
    </row>
    <row r="74" spans="7:10">
      <c r="G74" s="62"/>
      <c r="I74" s="200"/>
      <c r="J74" s="200"/>
    </row>
    <row r="75" spans="7:10">
      <c r="G75" s="62"/>
      <c r="I75" s="200"/>
      <c r="J75" s="200"/>
    </row>
    <row r="76" spans="7:10">
      <c r="G76" s="62"/>
      <c r="I76" s="200"/>
      <c r="J76" s="200"/>
    </row>
    <row r="77" spans="7:10">
      <c r="G77" s="62"/>
      <c r="I77" s="200"/>
      <c r="J77" s="200"/>
    </row>
    <row r="78" spans="7:10">
      <c r="G78" s="62"/>
      <c r="I78" s="200"/>
      <c r="J78" s="200"/>
    </row>
    <row r="79" spans="7:10">
      <c r="G79" s="62"/>
      <c r="I79" s="200"/>
      <c r="J79" s="200"/>
    </row>
    <row r="80" spans="7:10">
      <c r="G80" s="62"/>
      <c r="I80" s="200"/>
      <c r="J80" s="200"/>
    </row>
    <row r="81" spans="7:10">
      <c r="G81" s="62"/>
      <c r="I81" s="200"/>
      <c r="J81" s="200"/>
    </row>
    <row r="82" spans="7:10">
      <c r="G82" s="62"/>
      <c r="I82" s="200"/>
      <c r="J82" s="200"/>
    </row>
    <row r="83" spans="7:10">
      <c r="G83" s="62"/>
      <c r="I83" s="200"/>
      <c r="J83" s="200"/>
    </row>
    <row r="84" spans="7:10">
      <c r="G84" s="62"/>
      <c r="I84" s="200"/>
      <c r="J84" s="200"/>
    </row>
    <row r="85" spans="7:10">
      <c r="G85" s="62"/>
      <c r="I85" s="200"/>
      <c r="J85" s="200"/>
    </row>
    <row r="86" spans="7:10">
      <c r="G86" s="62"/>
      <c r="I86" s="200"/>
      <c r="J86" s="200"/>
    </row>
    <row r="87" spans="7:10">
      <c r="G87" s="62"/>
      <c r="I87" s="200"/>
      <c r="J87" s="200"/>
    </row>
    <row r="88" spans="7:10">
      <c r="G88" s="62"/>
      <c r="I88" s="200"/>
      <c r="J88" s="200"/>
    </row>
    <row r="89" spans="7:10">
      <c r="G89" s="62"/>
      <c r="I89" s="200"/>
      <c r="J89" s="200"/>
    </row>
    <row r="90" spans="7:10">
      <c r="G90" s="62"/>
      <c r="I90" s="200"/>
      <c r="J90" s="200"/>
    </row>
    <row r="91" spans="7:10">
      <c r="G91" s="62"/>
      <c r="I91" s="200"/>
      <c r="J91" s="200"/>
    </row>
    <row r="92" spans="7:10">
      <c r="G92" s="62"/>
      <c r="I92" s="200"/>
      <c r="J92" s="200"/>
    </row>
    <row r="93" spans="7:10">
      <c r="G93" s="62"/>
      <c r="I93" s="200"/>
      <c r="J93" s="200"/>
    </row>
    <row r="94" spans="7:10">
      <c r="G94" s="62"/>
      <c r="I94" s="200"/>
      <c r="J94" s="200"/>
    </row>
    <row r="95" spans="7:10">
      <c r="G95" s="62"/>
      <c r="I95" s="200"/>
      <c r="J95" s="200"/>
    </row>
    <row r="96" spans="7:10">
      <c r="G96" s="62"/>
      <c r="I96" s="200"/>
      <c r="J96" s="200"/>
    </row>
    <row r="97" spans="7:10">
      <c r="G97" s="62"/>
      <c r="I97" s="200"/>
      <c r="J97" s="200"/>
    </row>
    <row r="98" spans="7:10">
      <c r="G98" s="62"/>
      <c r="I98" s="200"/>
      <c r="J98" s="200"/>
    </row>
    <row r="99" spans="7:10">
      <c r="G99" s="62"/>
      <c r="I99" s="200"/>
      <c r="J99" s="200"/>
    </row>
    <row r="100" spans="7:10">
      <c r="G100" s="62"/>
      <c r="I100" s="200"/>
      <c r="J100" s="200"/>
    </row>
    <row r="101" spans="7:10">
      <c r="G101" s="62"/>
      <c r="I101" s="200"/>
      <c r="J101" s="200"/>
    </row>
    <row r="102" spans="7:10">
      <c r="G102" s="62"/>
      <c r="I102" s="200"/>
      <c r="J102" s="200"/>
    </row>
    <row r="103" spans="7:10">
      <c r="G103" s="62"/>
      <c r="I103" s="200"/>
      <c r="J103" s="200"/>
    </row>
    <row r="104" spans="7:10">
      <c r="G104" s="62"/>
      <c r="I104" s="200"/>
      <c r="J104" s="200"/>
    </row>
    <row r="105" spans="7:10">
      <c r="G105" s="62"/>
      <c r="I105" s="200"/>
      <c r="J105" s="200"/>
    </row>
    <row r="106" spans="7:10">
      <c r="G106" s="62"/>
      <c r="I106" s="200"/>
      <c r="J106" s="200"/>
    </row>
    <row r="107" spans="7:10">
      <c r="G107" s="62"/>
      <c r="I107" s="200"/>
      <c r="J107" s="200"/>
    </row>
    <row r="108" spans="7:10">
      <c r="G108" s="62"/>
      <c r="I108" s="200"/>
      <c r="J108" s="200"/>
    </row>
    <row r="109" spans="7:10">
      <c r="G109" s="62"/>
      <c r="I109" s="200"/>
      <c r="J109" s="200"/>
    </row>
    <row r="110" spans="7:10">
      <c r="G110" s="62"/>
      <c r="I110" s="200"/>
      <c r="J110" s="200"/>
    </row>
    <row r="111" spans="7:10">
      <c r="G111" s="62"/>
      <c r="I111" s="200"/>
      <c r="J111" s="200"/>
    </row>
    <row r="112" spans="7:10">
      <c r="G112" s="62"/>
      <c r="I112" s="200"/>
      <c r="J112" s="200"/>
    </row>
    <row r="113" spans="7:10">
      <c r="G113" s="62"/>
      <c r="I113" s="200"/>
      <c r="J113" s="200"/>
    </row>
    <row r="114" spans="7:10">
      <c r="G114" s="62"/>
      <c r="I114" s="200"/>
      <c r="J114" s="200"/>
    </row>
    <row r="115" spans="7:10">
      <c r="G115" s="62"/>
      <c r="I115" s="200"/>
      <c r="J115" s="200"/>
    </row>
    <row r="116" spans="7:10">
      <c r="G116" s="62"/>
      <c r="I116" s="200"/>
      <c r="J116" s="200"/>
    </row>
    <row r="117" spans="7:10">
      <c r="G117" s="62"/>
      <c r="I117" s="200"/>
      <c r="J117" s="200"/>
    </row>
    <row r="118" spans="7:10">
      <c r="G118" s="62"/>
      <c r="I118" s="200"/>
      <c r="J118" s="200"/>
    </row>
    <row r="119" spans="7:10">
      <c r="G119" s="62"/>
      <c r="I119" s="200"/>
      <c r="J119" s="200"/>
    </row>
    <row r="120" spans="7:10">
      <c r="G120" s="62"/>
      <c r="I120" s="200"/>
      <c r="J120" s="200"/>
    </row>
    <row r="121" spans="7:10">
      <c r="G121" s="62"/>
      <c r="I121" s="200"/>
      <c r="J121" s="200"/>
    </row>
  </sheetData>
  <mergeCells count="7">
    <mergeCell ref="B2:L2"/>
    <mergeCell ref="C35:D35"/>
    <mergeCell ref="A5:A10"/>
    <mergeCell ref="A12:A18"/>
    <mergeCell ref="A20:A22"/>
    <mergeCell ref="A24:A26"/>
    <mergeCell ref="A28:A29"/>
  </mergeCells>
  <pageMargins left="0.7" right="0.7" top="0.75" bottom="0.75" header="0.3" footer="0.3"/>
  <pageSetup scale="48" orientation="portrait"/>
  <headerFooter>
    <oddHeader>&amp;R&amp;"Arial"&amp;12&amp;KB16D0A Document Classification: Public&amp;1#</oddHeader>
  </headerFooter>
  <colBreaks count="1" manualBreakCount="1">
    <brk id="12" max="77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R183"/>
  <sheetViews>
    <sheetView topLeftCell="C60" zoomScaleNormal="100" zoomScaleSheetLayoutView="110" workbookViewId="0">
      <selection activeCell="K5" sqref="K5:L97"/>
    </sheetView>
  </sheetViews>
  <sheetFormatPr defaultColWidth="9.33203125" defaultRowHeight="15.6"/>
  <cols>
    <col min="1" max="1" width="9.33203125" style="1" hidden="1" customWidth="1"/>
    <col min="2" max="2" width="15.33203125" style="1" hidden="1" customWidth="1"/>
    <col min="3" max="4" width="15.33203125" style="1" customWidth="1"/>
    <col min="5" max="5" width="39" style="1" customWidth="1"/>
    <col min="6" max="6" width="22.33203125" style="1" customWidth="1"/>
    <col min="7" max="8" width="13.33203125" style="45" customWidth="1"/>
    <col min="9" max="10" width="15.33203125" style="46" customWidth="1"/>
    <col min="11" max="11" width="22.33203125" style="47" customWidth="1"/>
    <col min="12" max="12" width="20.33203125" style="2" customWidth="1"/>
    <col min="13" max="13" width="14.33203125" style="42" customWidth="1"/>
    <col min="14" max="14" width="12.33203125" style="42" customWidth="1"/>
    <col min="15" max="15" width="13" style="1" customWidth="1"/>
    <col min="16" max="16" width="13.33203125" style="1" customWidth="1"/>
    <col min="17" max="17" width="13" style="1" hidden="1" customWidth="1"/>
    <col min="18" max="19" width="12.33203125" style="1" customWidth="1"/>
    <col min="20" max="16384" width="9.33203125" style="1"/>
  </cols>
  <sheetData>
    <row r="1" spans="1:96" ht="64.5" customHeight="1">
      <c r="A1" s="5" t="s">
        <v>231</v>
      </c>
      <c r="B1" s="5"/>
      <c r="C1" s="5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5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9"/>
      <c r="BL1" s="149"/>
      <c r="BM1" s="149"/>
      <c r="BN1" s="149"/>
      <c r="BO1" s="149"/>
      <c r="BP1" s="149"/>
      <c r="BQ1" s="149"/>
      <c r="BR1" s="149"/>
      <c r="BS1" s="149"/>
      <c r="BT1" s="149"/>
      <c r="BU1" s="149"/>
      <c r="BV1" s="149"/>
      <c r="BW1" s="149"/>
      <c r="BX1" s="149"/>
      <c r="BY1" s="149"/>
      <c r="BZ1" s="149"/>
      <c r="CA1" s="149"/>
      <c r="CB1" s="149"/>
      <c r="CC1" s="149"/>
      <c r="CD1" s="149"/>
      <c r="CE1" s="149"/>
      <c r="CF1" s="149"/>
      <c r="CG1" s="149"/>
      <c r="CH1" s="149"/>
      <c r="CI1" s="149"/>
      <c r="CJ1" s="149"/>
      <c r="CK1" s="149"/>
      <c r="CL1" s="149"/>
      <c r="CM1" s="149"/>
      <c r="CN1" s="149"/>
      <c r="CO1" s="149"/>
      <c r="CP1" s="149"/>
      <c r="CQ1" s="149"/>
      <c r="CR1" s="149"/>
    </row>
    <row r="2" spans="1:96" ht="25.5" customHeight="1">
      <c r="A2" s="5"/>
      <c r="B2" s="5"/>
      <c r="C2" s="149"/>
      <c r="D2" s="5"/>
      <c r="E2" s="149"/>
      <c r="F2" s="149"/>
      <c r="G2" s="5"/>
      <c r="H2" s="5"/>
      <c r="I2" s="5" t="s">
        <v>1</v>
      </c>
      <c r="J2" s="5"/>
      <c r="K2" s="5"/>
      <c r="L2" s="5"/>
      <c r="M2" s="69"/>
      <c r="N2" s="69"/>
      <c r="O2" s="5"/>
      <c r="P2" s="5"/>
      <c r="Q2" s="5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49"/>
      <c r="AX2" s="149"/>
      <c r="AY2" s="149"/>
      <c r="AZ2" s="149"/>
      <c r="BA2" s="149"/>
      <c r="BB2" s="149"/>
      <c r="BC2" s="149"/>
      <c r="BD2" s="149"/>
      <c r="BE2" s="149"/>
      <c r="BF2" s="149"/>
      <c r="BG2" s="149"/>
      <c r="BH2" s="149"/>
      <c r="BI2" s="149"/>
      <c r="BJ2" s="149"/>
      <c r="BK2" s="149"/>
      <c r="BL2" s="149"/>
      <c r="BM2" s="149"/>
      <c r="BN2" s="149"/>
      <c r="BO2" s="149"/>
      <c r="BP2" s="149"/>
      <c r="BQ2" s="149"/>
      <c r="BR2" s="149"/>
      <c r="BS2" s="149"/>
      <c r="BT2" s="149"/>
      <c r="BU2" s="149"/>
      <c r="BV2" s="149"/>
      <c r="BW2" s="149"/>
      <c r="BX2" s="149"/>
      <c r="BY2" s="149"/>
      <c r="BZ2" s="149"/>
      <c r="CA2" s="149"/>
      <c r="CB2" s="149"/>
      <c r="CC2" s="149"/>
      <c r="CD2" s="149"/>
      <c r="CE2" s="149"/>
      <c r="CF2" s="149"/>
      <c r="CG2" s="149"/>
      <c r="CH2" s="149"/>
      <c r="CI2" s="149"/>
      <c r="CJ2" s="149"/>
      <c r="CK2" s="149"/>
      <c r="CL2" s="149"/>
      <c r="CM2" s="149"/>
      <c r="CN2" s="149"/>
      <c r="CO2" s="149"/>
      <c r="CP2" s="149"/>
      <c r="CQ2" s="149"/>
      <c r="CR2" s="149"/>
    </row>
    <row r="3" spans="1:96" ht="14.25" customHeight="1" thickBot="1">
      <c r="A3" s="6" t="s">
        <v>232</v>
      </c>
      <c r="B3" s="6"/>
      <c r="C3" s="6"/>
      <c r="D3" s="112" t="str">
        <f>SUMMARY!A3</f>
        <v>Date: Wednesday, 05 August, 2026</v>
      </c>
      <c r="E3" s="6"/>
      <c r="F3" s="5"/>
      <c r="G3" s="48"/>
      <c r="H3" s="48"/>
      <c r="I3" s="5"/>
      <c r="J3" s="5"/>
      <c r="K3" s="5"/>
      <c r="L3" s="5"/>
      <c r="M3" s="69"/>
      <c r="N3" s="69"/>
      <c r="O3" s="5"/>
      <c r="P3" s="5"/>
      <c r="Q3" s="5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  <c r="BA3" s="149"/>
      <c r="BB3" s="149"/>
      <c r="BC3" s="149"/>
      <c r="BD3" s="149"/>
      <c r="BE3" s="149"/>
      <c r="BF3" s="149"/>
      <c r="BG3" s="149"/>
      <c r="BH3" s="149"/>
      <c r="BI3" s="149"/>
      <c r="BJ3" s="149"/>
      <c r="BK3" s="149"/>
      <c r="BL3" s="149"/>
      <c r="BM3" s="149"/>
      <c r="BN3" s="149"/>
      <c r="BO3" s="149"/>
      <c r="BP3" s="149"/>
      <c r="BQ3" s="149"/>
      <c r="BR3" s="149"/>
      <c r="BS3" s="149"/>
      <c r="BT3" s="149"/>
      <c r="BU3" s="149"/>
      <c r="BV3" s="149"/>
      <c r="BW3" s="149"/>
      <c r="BX3" s="149"/>
      <c r="BY3" s="149"/>
      <c r="BZ3" s="149"/>
      <c r="CA3" s="149"/>
      <c r="CB3" s="149"/>
      <c r="CC3" s="149"/>
      <c r="CD3" s="149"/>
      <c r="CE3" s="149"/>
      <c r="CF3" s="149"/>
      <c r="CG3" s="149"/>
      <c r="CH3" s="149"/>
      <c r="CI3" s="149"/>
      <c r="CJ3" s="149"/>
      <c r="CK3" s="149"/>
      <c r="CL3" s="149"/>
      <c r="CM3" s="149"/>
      <c r="CN3" s="149"/>
      <c r="CO3" s="149"/>
      <c r="CP3" s="149"/>
      <c r="CQ3" s="149"/>
      <c r="CR3" s="149"/>
    </row>
    <row r="4" spans="1:96" ht="70.349999999999994" customHeight="1">
      <c r="A4" s="17" t="s">
        <v>44</v>
      </c>
      <c r="B4" s="49" t="s">
        <v>23</v>
      </c>
      <c r="C4" s="50" t="s">
        <v>23</v>
      </c>
      <c r="D4" s="51"/>
      <c r="E4" s="19" t="s">
        <v>24</v>
      </c>
      <c r="F4" s="19" t="s">
        <v>25</v>
      </c>
      <c r="G4" s="52" t="s">
        <v>233</v>
      </c>
      <c r="H4" s="52" t="s">
        <v>26</v>
      </c>
      <c r="I4" s="53" t="s">
        <v>234</v>
      </c>
      <c r="J4" s="53" t="s">
        <v>235</v>
      </c>
      <c r="K4" s="57" t="s">
        <v>178</v>
      </c>
      <c r="L4" s="23" t="s">
        <v>30</v>
      </c>
      <c r="M4" s="70" t="s">
        <v>236</v>
      </c>
      <c r="N4" s="71" t="s">
        <v>237</v>
      </c>
      <c r="O4" s="23" t="s">
        <v>33</v>
      </c>
      <c r="P4" s="23" t="s">
        <v>34</v>
      </c>
      <c r="Q4" s="44" t="s">
        <v>35</v>
      </c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  <c r="BM4" s="149"/>
      <c r="BN4" s="149"/>
      <c r="BO4" s="149"/>
      <c r="BP4" s="149"/>
      <c r="BQ4" s="149"/>
      <c r="BR4" s="149"/>
      <c r="BS4" s="149"/>
      <c r="BT4" s="149"/>
      <c r="BU4" s="149"/>
      <c r="BV4" s="149"/>
      <c r="BW4" s="149"/>
      <c r="BX4" s="149"/>
      <c r="BY4" s="149"/>
      <c r="BZ4" s="149"/>
      <c r="CA4" s="149"/>
      <c r="CB4" s="149"/>
      <c r="CC4" s="149"/>
      <c r="CD4" s="149"/>
      <c r="CE4" s="149"/>
      <c r="CF4" s="149"/>
      <c r="CG4" s="149"/>
      <c r="CH4" s="149"/>
      <c r="CI4" s="149"/>
      <c r="CJ4" s="149"/>
      <c r="CK4" s="149"/>
      <c r="CL4" s="149"/>
      <c r="CM4" s="149"/>
      <c r="CN4" s="149"/>
      <c r="CO4" s="149"/>
      <c r="CP4" s="149"/>
      <c r="CQ4" s="149"/>
      <c r="CR4" s="149"/>
    </row>
    <row r="5" spans="1:96">
      <c r="A5" s="248"/>
      <c r="B5" s="2"/>
      <c r="C5" s="64" t="s">
        <v>238</v>
      </c>
      <c r="D5" s="272">
        <v>1</v>
      </c>
      <c r="E5" s="173" t="s">
        <v>239</v>
      </c>
      <c r="F5" s="148" t="s">
        <v>240</v>
      </c>
      <c r="G5" s="54">
        <v>99.841529124463975</v>
      </c>
      <c r="H5" s="54">
        <v>9.6291591954023001</v>
      </c>
      <c r="I5" s="54">
        <v>99.866330631975302</v>
      </c>
      <c r="J5" s="54">
        <v>9.7441549425287377</v>
      </c>
      <c r="K5" s="72">
        <v>395963</v>
      </c>
      <c r="L5" s="60">
        <v>14</v>
      </c>
      <c r="M5" s="54">
        <v>99.818899999999999</v>
      </c>
      <c r="N5" s="54">
        <v>99.588200000000001</v>
      </c>
      <c r="O5" s="201">
        <f t="shared" ref="O5:O33" ca="1" si="0">P5-TODAY()</f>
        <v>5</v>
      </c>
      <c r="P5" s="202">
        <v>46244</v>
      </c>
      <c r="Q5" s="201">
        <f ca="1">R5-TODAY()</f>
        <v>-46239</v>
      </c>
      <c r="R5" s="149"/>
      <c r="S5" s="151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49"/>
      <c r="BD5" s="149"/>
      <c r="BE5" s="149"/>
      <c r="BF5" s="149"/>
      <c r="BG5" s="149"/>
      <c r="BH5" s="149"/>
      <c r="BI5" s="149"/>
      <c r="BJ5" s="149"/>
      <c r="BK5" s="149"/>
      <c r="BL5" s="149"/>
      <c r="BM5" s="149"/>
      <c r="BN5" s="149"/>
      <c r="BO5" s="149"/>
      <c r="BP5" s="149"/>
      <c r="BQ5" s="149"/>
      <c r="BR5" s="149"/>
      <c r="BS5" s="149"/>
      <c r="BT5" s="149"/>
      <c r="BU5" s="149"/>
      <c r="BV5" s="149"/>
      <c r="BW5" s="149"/>
      <c r="BX5" s="149"/>
      <c r="BY5" s="149"/>
      <c r="BZ5" s="149"/>
      <c r="CA5" s="149"/>
      <c r="CB5" s="149"/>
      <c r="CC5" s="149"/>
      <c r="CD5" s="149"/>
      <c r="CE5" s="149"/>
      <c r="CF5" s="149"/>
      <c r="CG5" s="149"/>
      <c r="CH5" s="149"/>
      <c r="CI5" s="149"/>
      <c r="CJ5" s="149"/>
      <c r="CK5" s="149"/>
      <c r="CL5" s="149"/>
      <c r="CM5" s="149"/>
      <c r="CN5" s="149"/>
      <c r="CO5" s="149"/>
      <c r="CP5" s="149"/>
      <c r="CQ5" s="149"/>
      <c r="CR5" s="149"/>
    </row>
    <row r="6" spans="1:96">
      <c r="A6" s="248"/>
      <c r="B6" s="2"/>
      <c r="C6" s="2"/>
      <c r="D6" s="272">
        <v>2</v>
      </c>
      <c r="E6" s="173" t="s">
        <v>241</v>
      </c>
      <c r="F6" s="148" t="s">
        <v>242</v>
      </c>
      <c r="G6" s="54">
        <v>99.687125474579531</v>
      </c>
      <c r="H6" s="54">
        <v>8.787982068965519</v>
      </c>
      <c r="I6" s="54">
        <v>99.707650831659635</v>
      </c>
      <c r="J6" s="54">
        <v>8.8939260919540235</v>
      </c>
      <c r="K6" s="72">
        <v>1806623</v>
      </c>
      <c r="L6" s="60">
        <v>65</v>
      </c>
      <c r="M6" s="54">
        <v>100</v>
      </c>
      <c r="N6" s="54">
        <v>99.562399999999997</v>
      </c>
      <c r="O6" s="201">
        <f t="shared" ca="1" si="0"/>
        <v>12</v>
      </c>
      <c r="P6" s="202">
        <v>46251</v>
      </c>
      <c r="Q6" s="160"/>
      <c r="R6" s="149"/>
      <c r="S6" s="151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49"/>
      <c r="BK6" s="149"/>
      <c r="BL6" s="149"/>
      <c r="BM6" s="149"/>
      <c r="BN6" s="149"/>
      <c r="BO6" s="149"/>
      <c r="BP6" s="149"/>
      <c r="BQ6" s="149"/>
      <c r="BR6" s="149"/>
      <c r="BS6" s="149"/>
      <c r="BT6" s="149"/>
      <c r="BU6" s="149"/>
      <c r="BV6" s="149"/>
      <c r="BW6" s="149"/>
      <c r="BX6" s="149"/>
      <c r="BY6" s="149"/>
      <c r="BZ6" s="149"/>
      <c r="CA6" s="149"/>
      <c r="CB6" s="149"/>
      <c r="CC6" s="149"/>
      <c r="CD6" s="149"/>
      <c r="CE6" s="149"/>
      <c r="CF6" s="149"/>
      <c r="CG6" s="149"/>
      <c r="CH6" s="149"/>
      <c r="CI6" s="149"/>
      <c r="CJ6" s="149"/>
      <c r="CK6" s="149"/>
      <c r="CL6" s="149"/>
      <c r="CM6" s="149"/>
      <c r="CN6" s="149"/>
      <c r="CO6" s="149"/>
      <c r="CP6" s="149"/>
      <c r="CQ6" s="149"/>
      <c r="CR6" s="149"/>
    </row>
    <row r="7" spans="1:96">
      <c r="A7" s="248"/>
      <c r="B7" s="2"/>
      <c r="C7" s="2"/>
      <c r="D7" s="272">
        <v>3</v>
      </c>
      <c r="E7" s="173" t="s">
        <v>243</v>
      </c>
      <c r="F7" s="148" t="s">
        <v>244</v>
      </c>
      <c r="G7" s="54">
        <v>99.565260601619173</v>
      </c>
      <c r="H7" s="54">
        <v>7.9468049425287361</v>
      </c>
      <c r="I7" s="54">
        <v>99.58189216388709</v>
      </c>
      <c r="J7" s="54">
        <v>8.0436972413793111</v>
      </c>
      <c r="K7" s="72">
        <v>1146305</v>
      </c>
      <c r="L7" s="60">
        <v>18</v>
      </c>
      <c r="M7" s="54">
        <v>99.592500000000001</v>
      </c>
      <c r="N7" s="54">
        <v>99.578599999999994</v>
      </c>
      <c r="O7" s="201">
        <f t="shared" ref="O7:O9" ca="1" si="1">P7-TODAY()</f>
        <v>19</v>
      </c>
      <c r="P7" s="202">
        <v>46258</v>
      </c>
      <c r="Q7" s="160"/>
      <c r="R7" s="149"/>
      <c r="S7" s="151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49"/>
      <c r="BF7" s="149"/>
      <c r="BG7" s="149"/>
      <c r="BH7" s="149"/>
      <c r="BI7" s="149"/>
      <c r="BJ7" s="149"/>
      <c r="BK7" s="149"/>
      <c r="BL7" s="149"/>
      <c r="BM7" s="149"/>
      <c r="BN7" s="149"/>
      <c r="BO7" s="149"/>
      <c r="BP7" s="149"/>
      <c r="BQ7" s="149"/>
      <c r="BR7" s="149"/>
      <c r="BS7" s="149"/>
      <c r="BT7" s="149"/>
      <c r="BU7" s="149"/>
      <c r="BV7" s="149"/>
      <c r="BW7" s="149"/>
      <c r="BX7" s="149"/>
      <c r="BY7" s="149"/>
      <c r="BZ7" s="149"/>
      <c r="CA7" s="149"/>
      <c r="CB7" s="149"/>
      <c r="CC7" s="149"/>
      <c r="CD7" s="149"/>
      <c r="CE7" s="149"/>
      <c r="CF7" s="149"/>
      <c r="CG7" s="149"/>
      <c r="CH7" s="149"/>
      <c r="CI7" s="149"/>
      <c r="CJ7" s="149"/>
      <c r="CK7" s="149"/>
      <c r="CL7" s="149"/>
      <c r="CM7" s="149"/>
      <c r="CN7" s="149"/>
      <c r="CO7" s="149"/>
      <c r="CP7" s="149"/>
      <c r="CQ7" s="149"/>
      <c r="CR7" s="149"/>
    </row>
    <row r="8" spans="1:96">
      <c r="A8" s="248"/>
      <c r="B8" s="2"/>
      <c r="C8" s="2"/>
      <c r="D8" s="272">
        <v>4</v>
      </c>
      <c r="E8" s="173" t="s">
        <v>245</v>
      </c>
      <c r="F8" s="148" t="s">
        <v>246</v>
      </c>
      <c r="G8" s="54">
        <v>99.475697618991205</v>
      </c>
      <c r="H8" s="54">
        <v>7.105627816091955</v>
      </c>
      <c r="I8" s="54">
        <v>99.488807434628683</v>
      </c>
      <c r="J8" s="54">
        <v>7.1934683908045987</v>
      </c>
      <c r="K8" s="72">
        <v>1493057</v>
      </c>
      <c r="L8" s="60">
        <v>49</v>
      </c>
      <c r="M8" s="54">
        <v>99.258300000000006</v>
      </c>
      <c r="N8" s="54">
        <v>99.258300000000006</v>
      </c>
      <c r="O8" s="201">
        <f t="shared" ca="1" si="1"/>
        <v>26</v>
      </c>
      <c r="P8" s="202">
        <v>46265</v>
      </c>
      <c r="Q8" s="160"/>
      <c r="R8" s="149"/>
      <c r="S8" s="151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149"/>
      <c r="BN8" s="149"/>
      <c r="BO8" s="149"/>
      <c r="BP8" s="149"/>
      <c r="BQ8" s="149"/>
      <c r="BR8" s="149"/>
      <c r="BS8" s="149"/>
      <c r="BT8" s="149"/>
      <c r="BU8" s="149"/>
      <c r="BV8" s="149"/>
      <c r="BW8" s="149"/>
      <c r="BX8" s="149"/>
      <c r="BY8" s="149"/>
      <c r="BZ8" s="149"/>
      <c r="CA8" s="149"/>
      <c r="CB8" s="149"/>
      <c r="CC8" s="149"/>
      <c r="CD8" s="149"/>
      <c r="CE8" s="149"/>
      <c r="CF8" s="149"/>
      <c r="CG8" s="149"/>
      <c r="CH8" s="149"/>
      <c r="CI8" s="149"/>
      <c r="CJ8" s="149"/>
      <c r="CK8" s="149"/>
      <c r="CL8" s="149"/>
      <c r="CM8" s="149"/>
      <c r="CN8" s="149"/>
      <c r="CO8" s="149"/>
      <c r="CP8" s="149"/>
      <c r="CQ8" s="149"/>
      <c r="CR8" s="149"/>
    </row>
    <row r="9" spans="1:96">
      <c r="A9" s="248"/>
      <c r="B9" s="2"/>
      <c r="C9" s="2"/>
      <c r="D9" s="272">
        <v>5</v>
      </c>
      <c r="E9" s="173" t="s">
        <v>247</v>
      </c>
      <c r="F9" s="148" t="s">
        <v>248</v>
      </c>
      <c r="G9" s="54">
        <v>99.381527766099566</v>
      </c>
      <c r="H9" s="54">
        <v>6.6624966666666676</v>
      </c>
      <c r="I9" s="54">
        <v>99.400781748535067</v>
      </c>
      <c r="J9" s="54">
        <v>6.6494033333333338</v>
      </c>
      <c r="K9" s="72">
        <v>6259669</v>
      </c>
      <c r="L9" s="60">
        <v>144</v>
      </c>
      <c r="M9" s="54">
        <v>100</v>
      </c>
      <c r="N9" s="54">
        <v>98.580200000000005</v>
      </c>
      <c r="O9" s="201">
        <f t="shared" ca="1" si="1"/>
        <v>33</v>
      </c>
      <c r="P9" s="202">
        <v>46272</v>
      </c>
      <c r="Q9" s="160"/>
      <c r="R9" s="149"/>
      <c r="S9" s="151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C9" s="149"/>
      <c r="CD9" s="149"/>
      <c r="CE9" s="149"/>
      <c r="CF9" s="149"/>
      <c r="CG9" s="149"/>
      <c r="CH9" s="149"/>
      <c r="CI9" s="149"/>
      <c r="CJ9" s="149"/>
      <c r="CK9" s="149"/>
      <c r="CL9" s="149"/>
      <c r="CM9" s="149"/>
      <c r="CN9" s="149"/>
      <c r="CO9" s="149"/>
      <c r="CP9" s="149"/>
      <c r="CQ9" s="149"/>
      <c r="CR9" s="149"/>
    </row>
    <row r="10" spans="1:96">
      <c r="A10" s="248"/>
      <c r="B10" s="2"/>
      <c r="C10" s="2"/>
      <c r="D10" s="272">
        <v>6</v>
      </c>
      <c r="E10" s="173" t="s">
        <v>249</v>
      </c>
      <c r="F10" s="148" t="s">
        <v>250</v>
      </c>
      <c r="G10" s="54">
        <v>99.271191547394039</v>
      </c>
      <c r="H10" s="54">
        <v>6.5179000000000009</v>
      </c>
      <c r="I10" s="54">
        <v>99.289311476160108</v>
      </c>
      <c r="J10" s="54">
        <v>6.5135566666666671</v>
      </c>
      <c r="K10" s="72">
        <v>2544015</v>
      </c>
      <c r="L10" s="60">
        <v>54</v>
      </c>
      <c r="M10" s="54">
        <v>100</v>
      </c>
      <c r="N10" s="54">
        <v>98.558800000000005</v>
      </c>
      <c r="O10" s="201">
        <f t="shared" ref="O10:O11" ca="1" si="2">P10-TODAY()</f>
        <v>40</v>
      </c>
      <c r="P10" s="202">
        <v>46279</v>
      </c>
      <c r="Q10" s="160"/>
      <c r="R10" s="149"/>
      <c r="S10" s="151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49"/>
      <c r="BM10" s="149"/>
      <c r="BN10" s="149"/>
      <c r="BO10" s="149"/>
      <c r="BP10" s="149"/>
      <c r="BQ10" s="149"/>
      <c r="BR10" s="149"/>
      <c r="BS10" s="149"/>
      <c r="BT10" s="149"/>
      <c r="BU10" s="149"/>
      <c r="BV10" s="149"/>
      <c r="BW10" s="149"/>
      <c r="BX10" s="149"/>
      <c r="BY10" s="149"/>
      <c r="BZ10" s="149"/>
      <c r="CA10" s="149"/>
      <c r="CB10" s="149"/>
      <c r="CC10" s="149"/>
      <c r="CD10" s="149"/>
      <c r="CE10" s="149"/>
      <c r="CF10" s="149"/>
      <c r="CG10" s="149"/>
      <c r="CH10" s="149"/>
      <c r="CI10" s="149"/>
      <c r="CJ10" s="149"/>
      <c r="CK10" s="149"/>
      <c r="CL10" s="149"/>
      <c r="CM10" s="149"/>
      <c r="CN10" s="149"/>
      <c r="CO10" s="149"/>
      <c r="CP10" s="149"/>
      <c r="CQ10" s="149"/>
      <c r="CR10" s="149"/>
    </row>
    <row r="11" spans="1:96">
      <c r="A11" s="248"/>
      <c r="B11" s="2"/>
      <c r="C11" s="2"/>
      <c r="D11" s="272">
        <v>7</v>
      </c>
      <c r="E11" s="173" t="s">
        <v>251</v>
      </c>
      <c r="F11" s="148" t="s">
        <v>252</v>
      </c>
      <c r="G11" s="54">
        <v>99.166568847746078</v>
      </c>
      <c r="H11" s="54">
        <v>6.3733033333333342</v>
      </c>
      <c r="I11" s="54">
        <v>99.183230537966708</v>
      </c>
      <c r="J11" s="54">
        <v>6.3777100000000004</v>
      </c>
      <c r="K11" s="72">
        <v>841845</v>
      </c>
      <c r="L11" s="60">
        <v>10</v>
      </c>
      <c r="M11" s="54">
        <v>100</v>
      </c>
      <c r="N11" s="54">
        <v>98.784199999999998</v>
      </c>
      <c r="O11" s="201">
        <f t="shared" ca="1" si="2"/>
        <v>47</v>
      </c>
      <c r="P11" s="202">
        <v>46286</v>
      </c>
      <c r="Q11" s="160"/>
      <c r="R11" s="149"/>
      <c r="S11" s="151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49"/>
      <c r="CC11" s="149"/>
      <c r="CD11" s="149"/>
      <c r="CE11" s="149"/>
      <c r="CF11" s="149"/>
      <c r="CG11" s="149"/>
      <c r="CH11" s="149"/>
      <c r="CI11" s="149"/>
      <c r="CJ11" s="149"/>
      <c r="CK11" s="149"/>
      <c r="CL11" s="149"/>
      <c r="CM11" s="149"/>
      <c r="CN11" s="149"/>
      <c r="CO11" s="149"/>
      <c r="CP11" s="149"/>
      <c r="CQ11" s="149"/>
      <c r="CR11" s="149"/>
    </row>
    <row r="12" spans="1:96">
      <c r="A12" s="248"/>
      <c r="B12" s="2"/>
      <c r="C12" s="2"/>
      <c r="D12" s="272">
        <v>8</v>
      </c>
      <c r="E12" s="173" t="s">
        <v>253</v>
      </c>
      <c r="F12" s="148" t="s">
        <v>254</v>
      </c>
      <c r="G12" s="54">
        <v>99.067624327868131</v>
      </c>
      <c r="H12" s="54">
        <v>6.2287066666666675</v>
      </c>
      <c r="I12" s="54">
        <v>99.082505202344635</v>
      </c>
      <c r="J12" s="54">
        <v>6.2418633333333329</v>
      </c>
      <c r="K12" s="72">
        <v>230078</v>
      </c>
      <c r="L12" s="60">
        <v>6</v>
      </c>
      <c r="M12" s="54">
        <v>100</v>
      </c>
      <c r="N12" s="54">
        <v>98.994500000000002</v>
      </c>
      <c r="O12" s="201">
        <f t="shared" ref="O12:O14" ca="1" si="3">P12-TODAY()</f>
        <v>54</v>
      </c>
      <c r="P12" s="202">
        <v>46293</v>
      </c>
      <c r="Q12" s="160"/>
      <c r="R12" s="149"/>
      <c r="S12" s="151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  <c r="BQ12" s="149"/>
      <c r="BR12" s="149"/>
      <c r="BS12" s="149"/>
      <c r="BT12" s="149"/>
      <c r="BU12" s="149"/>
      <c r="BV12" s="149"/>
      <c r="BW12" s="149"/>
      <c r="BX12" s="149"/>
      <c r="BY12" s="149"/>
      <c r="BZ12" s="149"/>
      <c r="CA12" s="149"/>
      <c r="CB12" s="149"/>
      <c r="CC12" s="149"/>
      <c r="CD12" s="149"/>
      <c r="CE12" s="149"/>
      <c r="CF12" s="149"/>
      <c r="CG12" s="149"/>
      <c r="CH12" s="149"/>
      <c r="CI12" s="149"/>
      <c r="CJ12" s="149"/>
      <c r="CK12" s="149"/>
      <c r="CL12" s="149"/>
      <c r="CM12" s="149"/>
      <c r="CN12" s="149"/>
      <c r="CO12" s="149"/>
      <c r="CP12" s="149"/>
      <c r="CQ12" s="149"/>
      <c r="CR12" s="149"/>
    </row>
    <row r="13" spans="1:96">
      <c r="A13" s="248"/>
      <c r="B13" s="2"/>
      <c r="C13" s="2"/>
      <c r="D13" s="272">
        <v>9</v>
      </c>
      <c r="E13" s="173" t="s">
        <v>255</v>
      </c>
      <c r="F13" s="148" t="s">
        <v>256</v>
      </c>
      <c r="G13" s="54">
        <v>98.971409302964048</v>
      </c>
      <c r="H13" s="54">
        <v>6.1015831182795708</v>
      </c>
      <c r="I13" s="54">
        <v>98.985900710768021</v>
      </c>
      <c r="J13" s="54">
        <v>6.1133419354838718</v>
      </c>
      <c r="K13" s="72">
        <v>1185802</v>
      </c>
      <c r="L13" s="60">
        <v>32</v>
      </c>
      <c r="M13" s="54">
        <v>98.934100000000001</v>
      </c>
      <c r="N13" s="54">
        <v>98.506399999999999</v>
      </c>
      <c r="O13" s="201">
        <f t="shared" ca="1" si="3"/>
        <v>61</v>
      </c>
      <c r="P13" s="202">
        <v>46300</v>
      </c>
      <c r="Q13" s="160"/>
      <c r="R13" s="149"/>
      <c r="S13" s="151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149"/>
      <c r="BT13" s="149"/>
      <c r="BU13" s="149"/>
      <c r="BV13" s="149"/>
      <c r="BW13" s="149"/>
      <c r="BX13" s="149"/>
      <c r="BY13" s="149"/>
      <c r="BZ13" s="149"/>
      <c r="CA13" s="149"/>
      <c r="CB13" s="149"/>
      <c r="CC13" s="149"/>
      <c r="CD13" s="149"/>
      <c r="CE13" s="149"/>
      <c r="CF13" s="149"/>
      <c r="CG13" s="149"/>
      <c r="CH13" s="149"/>
      <c r="CI13" s="149"/>
      <c r="CJ13" s="149"/>
      <c r="CK13" s="149"/>
      <c r="CL13" s="149"/>
      <c r="CM13" s="149"/>
      <c r="CN13" s="149"/>
      <c r="CO13" s="149"/>
      <c r="CP13" s="149"/>
      <c r="CQ13" s="149"/>
      <c r="CR13" s="149"/>
    </row>
    <row r="14" spans="1:96">
      <c r="A14" s="248"/>
      <c r="B14" s="2"/>
      <c r="C14" s="2"/>
      <c r="D14" s="272">
        <v>10</v>
      </c>
      <c r="E14" s="173" t="s">
        <v>257</v>
      </c>
      <c r="F14" s="148" t="s">
        <v>258</v>
      </c>
      <c r="G14" s="54">
        <v>98.872065780726686</v>
      </c>
      <c r="H14" s="54">
        <v>6.0181423655913981</v>
      </c>
      <c r="I14" s="54">
        <v>98.886289077339427</v>
      </c>
      <c r="J14" s="54">
        <v>6.0287721505376357</v>
      </c>
      <c r="K14" s="72">
        <v>819937</v>
      </c>
      <c r="L14" s="60">
        <v>8</v>
      </c>
      <c r="M14" s="54">
        <v>100</v>
      </c>
      <c r="N14" s="54">
        <v>98.782300000000006</v>
      </c>
      <c r="O14" s="201">
        <f t="shared" ca="1" si="3"/>
        <v>68</v>
      </c>
      <c r="P14" s="202">
        <v>46307</v>
      </c>
      <c r="Q14" s="160"/>
      <c r="R14" s="149"/>
      <c r="S14" s="151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/>
      <c r="BO14" s="149"/>
      <c r="BP14" s="149"/>
      <c r="BQ14" s="149"/>
      <c r="BR14" s="149"/>
      <c r="BS14" s="149"/>
      <c r="BT14" s="149"/>
      <c r="BU14" s="149"/>
      <c r="BV14" s="149"/>
      <c r="BW14" s="149"/>
      <c r="BX14" s="149"/>
      <c r="BY14" s="149"/>
      <c r="BZ14" s="149"/>
      <c r="CA14" s="149"/>
      <c r="CB14" s="149"/>
      <c r="CC14" s="149"/>
      <c r="CD14" s="149"/>
      <c r="CE14" s="149"/>
      <c r="CF14" s="149"/>
      <c r="CG14" s="149"/>
      <c r="CH14" s="149"/>
      <c r="CI14" s="149"/>
      <c r="CJ14" s="149"/>
      <c r="CK14" s="149"/>
      <c r="CL14" s="149"/>
      <c r="CM14" s="149"/>
      <c r="CN14" s="149"/>
      <c r="CO14" s="149"/>
      <c r="CP14" s="149"/>
      <c r="CQ14" s="149"/>
      <c r="CR14" s="149"/>
    </row>
    <row r="15" spans="1:96">
      <c r="A15" s="248"/>
      <c r="B15" s="2"/>
      <c r="C15" s="2"/>
      <c r="D15" s="272">
        <v>11</v>
      </c>
      <c r="E15" s="173" t="s">
        <v>259</v>
      </c>
      <c r="F15" s="148" t="s">
        <v>260</v>
      </c>
      <c r="G15" s="54">
        <v>98.776052574497626</v>
      </c>
      <c r="H15" s="54">
        <v>5.9347016129032255</v>
      </c>
      <c r="I15" s="54">
        <v>98.790052071659488</v>
      </c>
      <c r="J15" s="54">
        <v>5.9442023655913987</v>
      </c>
      <c r="K15" s="72">
        <v>1174781</v>
      </c>
      <c r="L15" s="60">
        <v>29</v>
      </c>
      <c r="M15" s="54">
        <v>100</v>
      </c>
      <c r="N15" s="54">
        <v>98.208500000000001</v>
      </c>
      <c r="O15" s="201">
        <f t="shared" ref="O15:O16" ca="1" si="4">P15-TODAY()</f>
        <v>75</v>
      </c>
      <c r="P15" s="202">
        <v>46314</v>
      </c>
      <c r="Q15" s="160"/>
      <c r="R15" s="149"/>
      <c r="S15" s="151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</row>
    <row r="16" spans="1:96">
      <c r="A16" s="248"/>
      <c r="B16" s="2"/>
      <c r="C16" s="2"/>
      <c r="D16" s="272">
        <v>12</v>
      </c>
      <c r="E16" s="173" t="s">
        <v>261</v>
      </c>
      <c r="F16" s="148" t="s">
        <v>262</v>
      </c>
      <c r="G16" s="54">
        <v>98.68335086909066</v>
      </c>
      <c r="H16" s="54">
        <v>5.8512608602150546</v>
      </c>
      <c r="I16" s="54">
        <v>98.697170581829113</v>
      </c>
      <c r="J16" s="54">
        <v>5.8596325806451617</v>
      </c>
      <c r="K16" s="59">
        <v>80229718</v>
      </c>
      <c r="L16" s="60">
        <v>1727</v>
      </c>
      <c r="M16" s="54">
        <v>100</v>
      </c>
      <c r="N16" s="54">
        <v>98.059899999999999</v>
      </c>
      <c r="O16" s="201">
        <f t="shared" ca="1" si="4"/>
        <v>82</v>
      </c>
      <c r="P16" s="202">
        <v>46321</v>
      </c>
      <c r="Q16" s="160"/>
      <c r="R16" s="149"/>
      <c r="S16" s="151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</row>
    <row r="17" spans="1:96">
      <c r="A17" s="2"/>
      <c r="B17" s="2"/>
      <c r="C17" s="2"/>
      <c r="D17" s="272">
        <v>13</v>
      </c>
      <c r="E17" s="173" t="s">
        <v>263</v>
      </c>
      <c r="F17" s="171" t="s">
        <v>264</v>
      </c>
      <c r="G17" s="54">
        <v>98.593942549761067</v>
      </c>
      <c r="H17" s="54">
        <v>5.767820107526882</v>
      </c>
      <c r="I17" s="54">
        <v>98.607626214733088</v>
      </c>
      <c r="J17" s="54">
        <v>5.7750627956989256</v>
      </c>
      <c r="K17" s="59">
        <v>1432549</v>
      </c>
      <c r="L17" s="220">
        <v>13</v>
      </c>
      <c r="M17" s="24"/>
      <c r="N17" s="24"/>
      <c r="O17" s="201">
        <f t="shared" ref="O17" ca="1" si="5">P17-TODAY()</f>
        <v>89</v>
      </c>
      <c r="P17" s="202">
        <v>46328</v>
      </c>
      <c r="Q17" s="160"/>
      <c r="R17" s="149"/>
      <c r="S17" s="151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</row>
    <row r="18" spans="1:96">
      <c r="A18" s="2"/>
      <c r="B18" s="2"/>
      <c r="C18" s="2"/>
      <c r="D18" s="2"/>
      <c r="E18" s="149"/>
      <c r="F18" s="216"/>
      <c r="G18" s="54"/>
      <c r="H18" s="54"/>
      <c r="I18" s="54"/>
      <c r="J18" s="54"/>
      <c r="K18" s="59"/>
      <c r="L18" s="217"/>
      <c r="M18" s="25"/>
      <c r="N18" s="25"/>
      <c r="O18" s="201"/>
      <c r="P18" s="218"/>
      <c r="Q18" s="160"/>
      <c r="R18" s="149"/>
      <c r="S18" s="151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</row>
    <row r="19" spans="1:96" ht="14.1" customHeight="1">
      <c r="A19" s="2"/>
      <c r="B19" s="149"/>
      <c r="C19" s="65" t="s">
        <v>265</v>
      </c>
      <c r="D19" s="66">
        <v>1</v>
      </c>
      <c r="E19" s="170" t="s">
        <v>266</v>
      </c>
      <c r="F19" s="155" t="s">
        <v>267</v>
      </c>
      <c r="G19" s="24">
        <v>99.841529124463975</v>
      </c>
      <c r="H19" s="24">
        <v>9.6291591954023001</v>
      </c>
      <c r="I19" s="24">
        <v>99.866330631975302</v>
      </c>
      <c r="J19" s="24">
        <v>9.7441549425287377</v>
      </c>
      <c r="K19" s="73">
        <v>84299</v>
      </c>
      <c r="L19" s="37">
        <v>3</v>
      </c>
      <c r="M19" s="75">
        <v>99.755899999999997</v>
      </c>
      <c r="N19" s="75">
        <v>99.715100000000007</v>
      </c>
      <c r="O19" s="201">
        <f t="shared" ca="1" si="0"/>
        <v>5</v>
      </c>
      <c r="P19" s="203">
        <v>46244</v>
      </c>
      <c r="Q19" s="160"/>
      <c r="R19" s="149"/>
      <c r="S19" s="151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</row>
    <row r="20" spans="1:96" ht="14.1" customHeight="1">
      <c r="A20" s="2"/>
      <c r="B20" s="149"/>
      <c r="C20" s="149"/>
      <c r="D20" s="66">
        <v>2</v>
      </c>
      <c r="E20" s="170" t="s">
        <v>268</v>
      </c>
      <c r="F20" s="155" t="s">
        <v>269</v>
      </c>
      <c r="G20" s="24">
        <v>99.687125474579531</v>
      </c>
      <c r="H20" s="24">
        <v>8.787982068965519</v>
      </c>
      <c r="I20" s="24">
        <v>99.707650831659635</v>
      </c>
      <c r="J20" s="24">
        <v>8.8939260919540235</v>
      </c>
      <c r="K20" s="73">
        <v>237401</v>
      </c>
      <c r="L20" s="37">
        <v>5</v>
      </c>
      <c r="M20" s="75">
        <v>100</v>
      </c>
      <c r="N20" s="75">
        <v>100</v>
      </c>
      <c r="O20" s="201">
        <f t="shared" ca="1" si="0"/>
        <v>12</v>
      </c>
      <c r="P20" s="203">
        <v>46251</v>
      </c>
      <c r="Q20" s="160"/>
      <c r="R20" s="149"/>
      <c r="S20" s="151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</row>
    <row r="21" spans="1:96" ht="14.1" customHeight="1">
      <c r="A21" s="2"/>
      <c r="B21" s="149"/>
      <c r="C21" s="149"/>
      <c r="D21" s="66">
        <v>3</v>
      </c>
      <c r="E21" s="170" t="s">
        <v>270</v>
      </c>
      <c r="F21" s="155" t="s">
        <v>271</v>
      </c>
      <c r="G21" s="24">
        <v>99.565260601619173</v>
      </c>
      <c r="H21" s="24">
        <v>7.9468049425287361</v>
      </c>
      <c r="I21" s="24">
        <v>99.58189216388709</v>
      </c>
      <c r="J21" s="24">
        <v>8.0436972413793111</v>
      </c>
      <c r="K21" s="73">
        <v>163681</v>
      </c>
      <c r="L21" s="37">
        <v>3</v>
      </c>
      <c r="M21" s="75">
        <v>100</v>
      </c>
      <c r="N21" s="75">
        <v>100</v>
      </c>
      <c r="O21" s="201">
        <f t="shared" ca="1" si="0"/>
        <v>19</v>
      </c>
      <c r="P21" s="203">
        <v>46258</v>
      </c>
      <c r="Q21" s="160"/>
      <c r="R21" s="149"/>
      <c r="S21" s="151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</row>
    <row r="22" spans="1:96" ht="14.1" customHeight="1">
      <c r="A22" s="2"/>
      <c r="B22" s="149"/>
      <c r="C22" s="149"/>
      <c r="D22" s="66">
        <v>4</v>
      </c>
      <c r="E22" s="170" t="s">
        <v>272</v>
      </c>
      <c r="F22" s="155" t="s">
        <v>273</v>
      </c>
      <c r="G22" s="24">
        <v>99.475697618991205</v>
      </c>
      <c r="H22" s="24">
        <v>7.105627816091955</v>
      </c>
      <c r="I22" s="24">
        <v>99.488807434628683</v>
      </c>
      <c r="J22" s="24">
        <v>7.1934683908045987</v>
      </c>
      <c r="K22" s="73">
        <v>286264</v>
      </c>
      <c r="L22" s="37">
        <v>9</v>
      </c>
      <c r="M22" s="24">
        <v>99.5351</v>
      </c>
      <c r="N22" s="24">
        <v>99.5351</v>
      </c>
      <c r="O22" s="201">
        <f t="shared" ca="1" si="0"/>
        <v>26</v>
      </c>
      <c r="P22" s="203">
        <v>46265</v>
      </c>
      <c r="Q22" s="160"/>
      <c r="R22" s="149"/>
      <c r="S22" s="151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  <c r="BI22" s="149"/>
      <c r="BJ22" s="149"/>
      <c r="BK22" s="149"/>
      <c r="BL22" s="149"/>
      <c r="BM22" s="149"/>
      <c r="BN22" s="149"/>
      <c r="BO22" s="149"/>
      <c r="BP22" s="149"/>
      <c r="BQ22" s="149"/>
      <c r="BR22" s="149"/>
      <c r="BS22" s="149"/>
      <c r="BT22" s="149"/>
      <c r="BU22" s="149"/>
      <c r="BV22" s="149"/>
      <c r="BW22" s="149"/>
      <c r="BX22" s="149"/>
      <c r="BY22" s="149"/>
      <c r="BZ22" s="149"/>
      <c r="CA22" s="149"/>
      <c r="CB22" s="149"/>
      <c r="CC22" s="149"/>
      <c r="CD22" s="149"/>
      <c r="CE22" s="149"/>
      <c r="CF22" s="149"/>
      <c r="CG22" s="149"/>
      <c r="CH22" s="149"/>
      <c r="CI22" s="149"/>
      <c r="CJ22" s="149"/>
      <c r="CK22" s="149"/>
      <c r="CL22" s="149"/>
      <c r="CM22" s="149"/>
      <c r="CN22" s="149"/>
      <c r="CO22" s="149"/>
      <c r="CP22" s="149"/>
      <c r="CQ22" s="149"/>
      <c r="CR22" s="149"/>
    </row>
    <row r="23" spans="1:96" ht="14.1" customHeight="1">
      <c r="A23" s="2"/>
      <c r="B23" s="149"/>
      <c r="C23" s="149"/>
      <c r="D23" s="66">
        <v>5</v>
      </c>
      <c r="E23" s="170" t="s">
        <v>274</v>
      </c>
      <c r="F23" s="155" t="s">
        <v>275</v>
      </c>
      <c r="G23" s="24">
        <v>99.381527766099566</v>
      </c>
      <c r="H23" s="24">
        <v>6.6624966666666676</v>
      </c>
      <c r="I23" s="24">
        <v>99.400781748535067</v>
      </c>
      <c r="J23" s="24">
        <v>6.6494033333333338</v>
      </c>
      <c r="K23" s="73">
        <v>1447881</v>
      </c>
      <c r="L23" s="37">
        <v>37</v>
      </c>
      <c r="M23" s="75">
        <v>100</v>
      </c>
      <c r="N23" s="75">
        <v>99.141000000000005</v>
      </c>
      <c r="O23" s="201">
        <f t="shared" ca="1" si="0"/>
        <v>33</v>
      </c>
      <c r="P23" s="203">
        <v>46272</v>
      </c>
      <c r="Q23" s="160"/>
      <c r="R23" s="149"/>
      <c r="S23" s="151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  <c r="BN23" s="149"/>
      <c r="BO23" s="149"/>
      <c r="BP23" s="149"/>
      <c r="BQ23" s="149"/>
      <c r="BR23" s="149"/>
      <c r="BS23" s="149"/>
      <c r="BT23" s="149"/>
      <c r="BU23" s="149"/>
      <c r="BV23" s="149"/>
      <c r="BW23" s="149"/>
      <c r="BX23" s="149"/>
      <c r="BY23" s="149"/>
      <c r="BZ23" s="149"/>
      <c r="CA23" s="149"/>
      <c r="CB23" s="149"/>
      <c r="CC23" s="149"/>
      <c r="CD23" s="149"/>
      <c r="CE23" s="149"/>
      <c r="CF23" s="149"/>
      <c r="CG23" s="149"/>
      <c r="CH23" s="149"/>
      <c r="CI23" s="149"/>
      <c r="CJ23" s="149"/>
      <c r="CK23" s="149"/>
      <c r="CL23" s="149"/>
      <c r="CM23" s="149"/>
      <c r="CN23" s="149"/>
      <c r="CO23" s="149"/>
      <c r="CP23" s="149"/>
      <c r="CQ23" s="149"/>
      <c r="CR23" s="149"/>
    </row>
    <row r="24" spans="1:96" ht="14.1" customHeight="1">
      <c r="A24" s="2"/>
      <c r="B24" s="149"/>
      <c r="C24" s="149"/>
      <c r="D24" s="66">
        <v>6</v>
      </c>
      <c r="E24" s="170" t="s">
        <v>276</v>
      </c>
      <c r="F24" s="155" t="s">
        <v>277</v>
      </c>
      <c r="G24" s="24">
        <v>99.271191547394039</v>
      </c>
      <c r="H24" s="24">
        <v>6.5179000000000009</v>
      </c>
      <c r="I24" s="24">
        <v>99.289311476160108</v>
      </c>
      <c r="J24" s="24">
        <v>6.5135566666666671</v>
      </c>
      <c r="K24" s="73">
        <v>130579</v>
      </c>
      <c r="L24" s="37">
        <v>5</v>
      </c>
      <c r="M24" s="75">
        <v>99.023600000000002</v>
      </c>
      <c r="N24" s="75">
        <v>99.023600000000002</v>
      </c>
      <c r="O24" s="201">
        <f t="shared" ca="1" si="0"/>
        <v>40</v>
      </c>
      <c r="P24" s="203">
        <v>46279</v>
      </c>
      <c r="Q24" s="160"/>
      <c r="R24" s="149"/>
      <c r="S24" s="151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  <c r="BR24" s="149"/>
      <c r="BS24" s="149"/>
      <c r="BT24" s="149"/>
      <c r="BU24" s="149"/>
      <c r="BV24" s="149"/>
      <c r="BW24" s="149"/>
      <c r="BX24" s="149"/>
      <c r="BY24" s="149"/>
      <c r="BZ24" s="149"/>
      <c r="CA24" s="149"/>
      <c r="CB24" s="149"/>
      <c r="CC24" s="149"/>
      <c r="CD24" s="149"/>
      <c r="CE24" s="149"/>
      <c r="CF24" s="149"/>
      <c r="CG24" s="149"/>
      <c r="CH24" s="149"/>
      <c r="CI24" s="149"/>
      <c r="CJ24" s="149"/>
      <c r="CK24" s="149"/>
      <c r="CL24" s="149"/>
      <c r="CM24" s="149"/>
      <c r="CN24" s="149"/>
      <c r="CO24" s="149"/>
      <c r="CP24" s="149"/>
      <c r="CQ24" s="149"/>
      <c r="CR24" s="149"/>
    </row>
    <row r="25" spans="1:96" ht="14.1" customHeight="1">
      <c r="A25" s="2"/>
      <c r="B25" s="149"/>
      <c r="C25" s="149"/>
      <c r="D25" s="66">
        <v>7</v>
      </c>
      <c r="E25" s="170" t="s">
        <v>278</v>
      </c>
      <c r="F25" s="155" t="s">
        <v>279</v>
      </c>
      <c r="G25" s="24">
        <v>99.166568847746078</v>
      </c>
      <c r="H25" s="24">
        <v>6.3733033333333342</v>
      </c>
      <c r="I25" s="24">
        <v>99.183230537966708</v>
      </c>
      <c r="J25" s="24">
        <v>6.3777100000000004</v>
      </c>
      <c r="K25" s="73">
        <v>559492</v>
      </c>
      <c r="L25" s="37">
        <v>6</v>
      </c>
      <c r="M25" s="75">
        <v>100</v>
      </c>
      <c r="N25" s="75">
        <v>98.924199999999999</v>
      </c>
      <c r="O25" s="201">
        <f t="shared" ca="1" si="0"/>
        <v>47</v>
      </c>
      <c r="P25" s="203">
        <v>46286</v>
      </c>
      <c r="Q25" s="160"/>
      <c r="R25" s="149"/>
      <c r="S25" s="151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  <c r="BJ25" s="149"/>
      <c r="BK25" s="149"/>
      <c r="BL25" s="149"/>
      <c r="BM25" s="149"/>
      <c r="BN25" s="149"/>
      <c r="BO25" s="149"/>
      <c r="BP25" s="149"/>
      <c r="BQ25" s="149"/>
      <c r="BR25" s="149"/>
      <c r="BS25" s="149"/>
      <c r="BT25" s="149"/>
      <c r="BU25" s="149"/>
      <c r="BV25" s="149"/>
      <c r="BW25" s="149"/>
      <c r="BX25" s="149"/>
      <c r="BY25" s="149"/>
      <c r="BZ25" s="149"/>
      <c r="CA25" s="149"/>
      <c r="CB25" s="149"/>
      <c r="CC25" s="149"/>
      <c r="CD25" s="149"/>
      <c r="CE25" s="149"/>
      <c r="CF25" s="149"/>
      <c r="CG25" s="149"/>
      <c r="CH25" s="149"/>
      <c r="CI25" s="149"/>
      <c r="CJ25" s="149"/>
      <c r="CK25" s="149"/>
      <c r="CL25" s="149"/>
      <c r="CM25" s="149"/>
      <c r="CN25" s="149"/>
      <c r="CO25" s="149"/>
      <c r="CP25" s="149"/>
      <c r="CQ25" s="149"/>
      <c r="CR25" s="149"/>
    </row>
    <row r="26" spans="1:96" ht="14.1" customHeight="1">
      <c r="A26" s="2"/>
      <c r="B26" s="149"/>
      <c r="C26" s="149"/>
      <c r="D26" s="66">
        <v>8</v>
      </c>
      <c r="E26" s="170" t="s">
        <v>280</v>
      </c>
      <c r="F26" s="155" t="s">
        <v>281</v>
      </c>
      <c r="G26" s="24">
        <v>99.067624327868131</v>
      </c>
      <c r="H26" s="24">
        <v>6.2287066666666675</v>
      </c>
      <c r="I26" s="24">
        <v>99.082505202344635</v>
      </c>
      <c r="J26" s="24">
        <v>6.2418633333333329</v>
      </c>
      <c r="K26" s="73">
        <v>20411</v>
      </c>
      <c r="L26" s="37">
        <v>4</v>
      </c>
      <c r="M26" s="75">
        <v>100</v>
      </c>
      <c r="N26" s="75">
        <v>100</v>
      </c>
      <c r="O26" s="201">
        <f t="shared" ca="1" si="0"/>
        <v>54</v>
      </c>
      <c r="P26" s="203">
        <v>46293</v>
      </c>
      <c r="Q26" s="160"/>
      <c r="R26" s="149"/>
      <c r="S26" s="151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  <c r="BI26" s="149"/>
      <c r="BJ26" s="149"/>
      <c r="BK26" s="149"/>
      <c r="BL26" s="149"/>
      <c r="BM26" s="149"/>
      <c r="BN26" s="149"/>
      <c r="BO26" s="149"/>
      <c r="BP26" s="149"/>
      <c r="BQ26" s="149"/>
      <c r="BR26" s="149"/>
      <c r="BS26" s="149"/>
      <c r="BT26" s="149"/>
      <c r="BU26" s="149"/>
      <c r="BV26" s="149"/>
      <c r="BW26" s="149"/>
      <c r="BX26" s="149"/>
      <c r="BY26" s="149"/>
      <c r="BZ26" s="149"/>
      <c r="CA26" s="149"/>
      <c r="CB26" s="149"/>
      <c r="CC26" s="149"/>
      <c r="CD26" s="149"/>
      <c r="CE26" s="149"/>
      <c r="CF26" s="149"/>
      <c r="CG26" s="149"/>
      <c r="CH26" s="149"/>
      <c r="CI26" s="149"/>
      <c r="CJ26" s="149"/>
      <c r="CK26" s="149"/>
      <c r="CL26" s="149"/>
      <c r="CM26" s="149"/>
      <c r="CN26" s="149"/>
      <c r="CO26" s="149"/>
      <c r="CP26" s="149"/>
      <c r="CQ26" s="149"/>
      <c r="CR26" s="149"/>
    </row>
    <row r="27" spans="1:96" ht="14.1" customHeight="1">
      <c r="A27" s="2"/>
      <c r="B27" s="149"/>
      <c r="C27" s="149"/>
      <c r="D27" s="66">
        <v>9</v>
      </c>
      <c r="E27" s="170" t="s">
        <v>282</v>
      </c>
      <c r="F27" s="155" t="s">
        <v>283</v>
      </c>
      <c r="G27" s="24">
        <v>98.971409302964048</v>
      </c>
      <c r="H27" s="24">
        <v>6.1015831182795708</v>
      </c>
      <c r="I27" s="24">
        <v>98.985900710768021</v>
      </c>
      <c r="J27" s="24">
        <v>6.1133419354838718</v>
      </c>
      <c r="K27" s="73"/>
      <c r="L27" s="37"/>
      <c r="M27" s="75">
        <v>100</v>
      </c>
      <c r="N27" s="75">
        <v>100</v>
      </c>
      <c r="O27" s="201">
        <f t="shared" ca="1" si="0"/>
        <v>61</v>
      </c>
      <c r="P27" s="203">
        <v>46300</v>
      </c>
      <c r="Q27" s="160"/>
      <c r="R27" s="149"/>
      <c r="S27" s="151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  <c r="BI27" s="149"/>
      <c r="BJ27" s="149"/>
      <c r="BK27" s="149"/>
      <c r="BL27" s="149"/>
      <c r="BM27" s="149"/>
      <c r="BN27" s="149"/>
      <c r="BO27" s="149"/>
      <c r="BP27" s="149"/>
      <c r="BQ27" s="149"/>
      <c r="BR27" s="149"/>
      <c r="BS27" s="149"/>
      <c r="BT27" s="149"/>
      <c r="BU27" s="149"/>
      <c r="BV27" s="149"/>
      <c r="BW27" s="149"/>
      <c r="BX27" s="149"/>
      <c r="BY27" s="149"/>
      <c r="BZ27" s="149"/>
      <c r="CA27" s="149"/>
      <c r="CB27" s="149"/>
      <c r="CC27" s="149"/>
      <c r="CD27" s="149"/>
      <c r="CE27" s="149"/>
      <c r="CF27" s="149"/>
      <c r="CG27" s="149"/>
      <c r="CH27" s="149"/>
      <c r="CI27" s="149"/>
      <c r="CJ27" s="149"/>
      <c r="CK27" s="149"/>
      <c r="CL27" s="149"/>
      <c r="CM27" s="149"/>
      <c r="CN27" s="149"/>
      <c r="CO27" s="149"/>
      <c r="CP27" s="149"/>
      <c r="CQ27" s="149"/>
      <c r="CR27" s="149"/>
    </row>
    <row r="28" spans="1:96" ht="14.1" customHeight="1">
      <c r="A28" s="2"/>
      <c r="B28" s="149"/>
      <c r="C28" s="149"/>
      <c r="D28" s="66">
        <v>10</v>
      </c>
      <c r="E28" s="170" t="s">
        <v>284</v>
      </c>
      <c r="F28" s="155" t="s">
        <v>285</v>
      </c>
      <c r="G28" s="24">
        <v>98.872065780726686</v>
      </c>
      <c r="H28" s="24">
        <v>6.0181423655913981</v>
      </c>
      <c r="I28" s="24">
        <v>98.886289077339427</v>
      </c>
      <c r="J28" s="24">
        <v>6.0287721505376357</v>
      </c>
      <c r="K28" s="73">
        <v>17167</v>
      </c>
      <c r="L28" s="37">
        <v>1</v>
      </c>
      <c r="M28" s="75">
        <v>100</v>
      </c>
      <c r="N28" s="75">
        <v>100</v>
      </c>
      <c r="O28" s="201">
        <f t="shared" ca="1" si="0"/>
        <v>68</v>
      </c>
      <c r="P28" s="203">
        <v>46307</v>
      </c>
      <c r="Q28" s="160"/>
      <c r="R28" s="149"/>
      <c r="S28" s="151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  <c r="BI28" s="149"/>
      <c r="BJ28" s="149"/>
      <c r="BK28" s="149"/>
      <c r="BL28" s="149"/>
      <c r="BM28" s="149"/>
      <c r="BN28" s="149"/>
      <c r="BO28" s="149"/>
      <c r="BP28" s="149"/>
      <c r="BQ28" s="149"/>
      <c r="BR28" s="149"/>
      <c r="BS28" s="149"/>
      <c r="BT28" s="149"/>
      <c r="BU28" s="149"/>
      <c r="BV28" s="149"/>
      <c r="BW28" s="149"/>
      <c r="BX28" s="149"/>
      <c r="BY28" s="149"/>
      <c r="BZ28" s="149"/>
      <c r="CA28" s="149"/>
      <c r="CB28" s="149"/>
      <c r="CC28" s="149"/>
      <c r="CD28" s="149"/>
      <c r="CE28" s="149"/>
      <c r="CF28" s="149"/>
      <c r="CG28" s="149"/>
      <c r="CH28" s="149"/>
      <c r="CI28" s="149"/>
      <c r="CJ28" s="149"/>
      <c r="CK28" s="149"/>
      <c r="CL28" s="149"/>
      <c r="CM28" s="149"/>
      <c r="CN28" s="149"/>
      <c r="CO28" s="149"/>
      <c r="CP28" s="149"/>
      <c r="CQ28" s="149"/>
      <c r="CR28" s="149"/>
    </row>
    <row r="29" spans="1:96" ht="14.1" customHeight="1">
      <c r="A29" s="2"/>
      <c r="B29" s="149"/>
      <c r="C29" s="149"/>
      <c r="D29" s="66">
        <v>11</v>
      </c>
      <c r="E29" s="170" t="s">
        <v>286</v>
      </c>
      <c r="F29" s="155" t="s">
        <v>287</v>
      </c>
      <c r="G29" s="24">
        <v>98.776052574497626</v>
      </c>
      <c r="H29" s="24">
        <v>5.9347016129032255</v>
      </c>
      <c r="I29" s="24">
        <v>98.790052071659488</v>
      </c>
      <c r="J29" s="24">
        <v>5.9442023655913987</v>
      </c>
      <c r="K29" s="73">
        <v>599010</v>
      </c>
      <c r="L29" s="37">
        <v>9</v>
      </c>
      <c r="M29" s="75">
        <v>98.331999999999994</v>
      </c>
      <c r="N29" s="75">
        <v>98.331999999999994</v>
      </c>
      <c r="O29" s="201">
        <f t="shared" ca="1" si="0"/>
        <v>75</v>
      </c>
      <c r="P29" s="203">
        <v>46314</v>
      </c>
      <c r="Q29" s="160"/>
      <c r="R29" s="149"/>
      <c r="S29" s="151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  <c r="BI29" s="149"/>
      <c r="BJ29" s="149"/>
      <c r="BK29" s="149"/>
      <c r="BL29" s="149"/>
      <c r="BM29" s="149"/>
      <c r="BN29" s="149"/>
      <c r="BO29" s="149"/>
      <c r="BP29" s="149"/>
      <c r="BQ29" s="149"/>
      <c r="BR29" s="149"/>
      <c r="BS29" s="149"/>
      <c r="BT29" s="149"/>
      <c r="BU29" s="149"/>
      <c r="BV29" s="149"/>
      <c r="BW29" s="149"/>
      <c r="BX29" s="149"/>
      <c r="BY29" s="149"/>
      <c r="BZ29" s="149"/>
      <c r="CA29" s="149"/>
      <c r="CB29" s="149"/>
      <c r="CC29" s="149"/>
      <c r="CD29" s="149"/>
      <c r="CE29" s="149"/>
      <c r="CF29" s="149"/>
      <c r="CG29" s="149"/>
      <c r="CH29" s="149"/>
      <c r="CI29" s="149"/>
      <c r="CJ29" s="149"/>
      <c r="CK29" s="149"/>
      <c r="CL29" s="149"/>
      <c r="CM29" s="149"/>
      <c r="CN29" s="149"/>
      <c r="CO29" s="149"/>
      <c r="CP29" s="149"/>
      <c r="CQ29" s="149"/>
      <c r="CR29" s="149"/>
    </row>
    <row r="30" spans="1:96" ht="14.1" customHeight="1">
      <c r="A30" s="2"/>
      <c r="B30" s="149"/>
      <c r="C30" s="149"/>
      <c r="D30" s="66">
        <v>12</v>
      </c>
      <c r="E30" s="170" t="s">
        <v>288</v>
      </c>
      <c r="F30" s="155" t="s">
        <v>289</v>
      </c>
      <c r="G30" s="24">
        <v>98.68335086909066</v>
      </c>
      <c r="H30" s="24">
        <v>5.8512608602150546</v>
      </c>
      <c r="I30" s="24">
        <v>98.697170581829113</v>
      </c>
      <c r="J30" s="24">
        <v>5.8596325806451617</v>
      </c>
      <c r="K30" s="73">
        <v>651409</v>
      </c>
      <c r="L30" s="37">
        <v>6</v>
      </c>
      <c r="M30" s="75">
        <v>100</v>
      </c>
      <c r="N30" s="75">
        <v>98.189599999999999</v>
      </c>
      <c r="O30" s="201">
        <f t="shared" ca="1" si="0"/>
        <v>82</v>
      </c>
      <c r="P30" s="203">
        <v>46321</v>
      </c>
      <c r="Q30" s="160"/>
      <c r="R30" s="149"/>
      <c r="S30" s="151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  <c r="BJ30" s="149"/>
      <c r="BK30" s="149"/>
      <c r="BL30" s="149"/>
      <c r="BM30" s="149"/>
      <c r="BN30" s="149"/>
      <c r="BO30" s="149"/>
      <c r="BP30" s="149"/>
      <c r="BQ30" s="149"/>
      <c r="BR30" s="149"/>
      <c r="BS30" s="149"/>
      <c r="BT30" s="149"/>
      <c r="BU30" s="149"/>
      <c r="BV30" s="149"/>
      <c r="BW30" s="149"/>
      <c r="BX30" s="149"/>
      <c r="BY30" s="149"/>
      <c r="BZ30" s="149"/>
      <c r="CA30" s="149"/>
      <c r="CB30" s="149"/>
      <c r="CC30" s="149"/>
      <c r="CD30" s="149"/>
      <c r="CE30" s="149"/>
      <c r="CF30" s="149"/>
      <c r="CG30" s="149"/>
      <c r="CH30" s="149"/>
      <c r="CI30" s="149"/>
      <c r="CJ30" s="149"/>
      <c r="CK30" s="149"/>
      <c r="CL30" s="149"/>
      <c r="CM30" s="149"/>
      <c r="CN30" s="149"/>
      <c r="CO30" s="149"/>
      <c r="CP30" s="149"/>
      <c r="CQ30" s="149"/>
      <c r="CR30" s="149"/>
    </row>
    <row r="31" spans="1:96" ht="14.1" customHeight="1">
      <c r="A31" s="2"/>
      <c r="B31" s="149"/>
      <c r="C31" s="149"/>
      <c r="D31" s="66">
        <v>13</v>
      </c>
      <c r="E31" s="170" t="s">
        <v>290</v>
      </c>
      <c r="F31" s="155" t="s">
        <v>291</v>
      </c>
      <c r="G31" s="24">
        <v>98.593942549761067</v>
      </c>
      <c r="H31" s="24">
        <v>5.767820107526882</v>
      </c>
      <c r="I31" s="24">
        <v>98.607626214733088</v>
      </c>
      <c r="J31" s="24">
        <v>5.7750627956989256</v>
      </c>
      <c r="K31" s="73">
        <v>434683</v>
      </c>
      <c r="L31" s="37">
        <v>8</v>
      </c>
      <c r="M31" s="75">
        <v>100</v>
      </c>
      <c r="N31" s="75">
        <v>100</v>
      </c>
      <c r="O31" s="201">
        <f t="shared" ca="1" si="0"/>
        <v>89</v>
      </c>
      <c r="P31" s="203">
        <v>46328</v>
      </c>
      <c r="Q31" s="160"/>
      <c r="R31" s="149"/>
      <c r="S31" s="151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  <c r="BI31" s="149"/>
      <c r="BJ31" s="149"/>
      <c r="BK31" s="149"/>
      <c r="BL31" s="149"/>
      <c r="BM31" s="149"/>
      <c r="BN31" s="149"/>
      <c r="BO31" s="149"/>
      <c r="BP31" s="149"/>
      <c r="BQ31" s="149"/>
      <c r="BR31" s="149"/>
      <c r="BS31" s="149"/>
      <c r="BT31" s="149"/>
      <c r="BU31" s="149"/>
      <c r="BV31" s="149"/>
      <c r="BW31" s="149"/>
      <c r="BX31" s="149"/>
      <c r="BY31" s="149"/>
      <c r="BZ31" s="149"/>
      <c r="CA31" s="149"/>
      <c r="CB31" s="149"/>
      <c r="CC31" s="149"/>
      <c r="CD31" s="149"/>
      <c r="CE31" s="149"/>
      <c r="CF31" s="149"/>
      <c r="CG31" s="149"/>
      <c r="CH31" s="149"/>
      <c r="CI31" s="149"/>
      <c r="CJ31" s="149"/>
      <c r="CK31" s="149"/>
      <c r="CL31" s="149"/>
      <c r="CM31" s="149"/>
      <c r="CN31" s="149"/>
      <c r="CO31" s="149"/>
      <c r="CP31" s="149"/>
      <c r="CQ31" s="149"/>
      <c r="CR31" s="149"/>
    </row>
    <row r="32" spans="1:96" ht="14.1" customHeight="1">
      <c r="A32" s="2"/>
      <c r="B32" s="149"/>
      <c r="C32" s="149"/>
      <c r="D32" s="66">
        <v>14</v>
      </c>
      <c r="E32" s="170" t="s">
        <v>292</v>
      </c>
      <c r="F32" s="155" t="s">
        <v>293</v>
      </c>
      <c r="G32" s="24">
        <v>98.45669934051115</v>
      </c>
      <c r="H32" s="24">
        <v>5.882134065934066</v>
      </c>
      <c r="I32" s="24">
        <v>98.479447879609864</v>
      </c>
      <c r="J32" s="24">
        <v>5.8544467032967038</v>
      </c>
      <c r="K32" s="73">
        <v>824241</v>
      </c>
      <c r="L32" s="37">
        <v>3</v>
      </c>
      <c r="M32" s="75">
        <v>97.884500000000003</v>
      </c>
      <c r="N32" s="75">
        <v>97.884500000000003</v>
      </c>
      <c r="O32" s="201">
        <f t="shared" ca="1" si="0"/>
        <v>96</v>
      </c>
      <c r="P32" s="203">
        <v>46335</v>
      </c>
      <c r="Q32" s="160"/>
      <c r="R32" s="149"/>
      <c r="S32" s="151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  <c r="BI32" s="149"/>
      <c r="BJ32" s="149"/>
      <c r="BK32" s="149"/>
      <c r="BL32" s="149"/>
      <c r="BM32" s="149"/>
      <c r="BN32" s="149"/>
      <c r="BO32" s="149"/>
      <c r="BP32" s="149"/>
      <c r="BQ32" s="149"/>
      <c r="BR32" s="149"/>
      <c r="BS32" s="149"/>
      <c r="BT32" s="149"/>
      <c r="BU32" s="149"/>
      <c r="BV32" s="149"/>
      <c r="BW32" s="149"/>
      <c r="BX32" s="149"/>
      <c r="BY32" s="149"/>
      <c r="BZ32" s="149"/>
      <c r="CA32" s="149"/>
      <c r="CB32" s="149"/>
      <c r="CC32" s="149"/>
      <c r="CD32" s="149"/>
      <c r="CE32" s="149"/>
      <c r="CF32" s="149"/>
      <c r="CG32" s="149"/>
      <c r="CH32" s="149"/>
      <c r="CI32" s="149"/>
      <c r="CJ32" s="149"/>
      <c r="CK32" s="149"/>
      <c r="CL32" s="149"/>
      <c r="CM32" s="149"/>
      <c r="CN32" s="149"/>
      <c r="CO32" s="149"/>
      <c r="CP32" s="149"/>
      <c r="CQ32" s="149"/>
      <c r="CR32" s="149"/>
    </row>
    <row r="33" spans="1:96" ht="14.1" customHeight="1">
      <c r="A33" s="2"/>
      <c r="B33" s="149"/>
      <c r="C33" s="149"/>
      <c r="D33" s="66">
        <v>15</v>
      </c>
      <c r="E33" s="170" t="s">
        <v>294</v>
      </c>
      <c r="F33" s="155" t="s">
        <v>295</v>
      </c>
      <c r="G33" s="24">
        <v>98.306486199765558</v>
      </c>
      <c r="H33" s="24">
        <v>6.0294071428571421</v>
      </c>
      <c r="I33" s="24">
        <v>98.330702750291806</v>
      </c>
      <c r="J33" s="24">
        <v>5.9994120879120878</v>
      </c>
      <c r="K33" s="73">
        <v>62157</v>
      </c>
      <c r="L33" s="37">
        <v>1</v>
      </c>
      <c r="M33" s="75">
        <v>100</v>
      </c>
      <c r="N33" s="75">
        <v>100</v>
      </c>
      <c r="O33" s="201">
        <f t="shared" ca="1" si="0"/>
        <v>103</v>
      </c>
      <c r="P33" s="203">
        <v>46342</v>
      </c>
      <c r="Q33" s="160"/>
      <c r="R33" s="149"/>
      <c r="S33" s="151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49"/>
      <c r="BM33" s="149"/>
      <c r="BN33" s="149"/>
      <c r="BO33" s="149"/>
      <c r="BP33" s="149"/>
      <c r="BQ33" s="149"/>
      <c r="BR33" s="149"/>
      <c r="BS33" s="149"/>
      <c r="BT33" s="149"/>
      <c r="BU33" s="149"/>
      <c r="BV33" s="149"/>
      <c r="BW33" s="149"/>
      <c r="BX33" s="149"/>
      <c r="BY33" s="149"/>
      <c r="BZ33" s="149"/>
      <c r="CA33" s="149"/>
      <c r="CB33" s="149"/>
      <c r="CC33" s="149"/>
      <c r="CD33" s="149"/>
      <c r="CE33" s="149"/>
      <c r="CF33" s="149"/>
      <c r="CG33" s="149"/>
      <c r="CH33" s="149"/>
      <c r="CI33" s="149"/>
      <c r="CJ33" s="149"/>
      <c r="CK33" s="149"/>
      <c r="CL33" s="149"/>
      <c r="CM33" s="149"/>
      <c r="CN33" s="149"/>
      <c r="CO33" s="149"/>
      <c r="CP33" s="149"/>
      <c r="CQ33" s="149"/>
      <c r="CR33" s="149"/>
    </row>
    <row r="34" spans="1:96" ht="14.1" customHeight="1">
      <c r="A34" s="2"/>
      <c r="B34" s="149"/>
      <c r="C34" s="149"/>
      <c r="D34" s="66">
        <v>16</v>
      </c>
      <c r="E34" s="170" t="s">
        <v>296</v>
      </c>
      <c r="F34" s="155" t="s">
        <v>297</v>
      </c>
      <c r="G34" s="24">
        <v>98.151273562485713</v>
      </c>
      <c r="H34" s="24">
        <v>6.17668021978022</v>
      </c>
      <c r="I34" s="24">
        <v>98.177031821678014</v>
      </c>
      <c r="J34" s="24">
        <v>6.1443774725274727</v>
      </c>
      <c r="K34" s="73">
        <v>206542</v>
      </c>
      <c r="L34" s="37">
        <v>3</v>
      </c>
      <c r="M34" s="75">
        <v>100</v>
      </c>
      <c r="N34" s="75">
        <v>96.739800000000002</v>
      </c>
      <c r="O34" s="201">
        <f t="shared" ref="O34:O35" ca="1" si="6">P34-TODAY()</f>
        <v>110</v>
      </c>
      <c r="P34" s="203">
        <v>46349</v>
      </c>
      <c r="Q34" s="160"/>
      <c r="R34" s="149"/>
      <c r="S34" s="151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  <c r="BN34" s="149"/>
      <c r="BO34" s="149"/>
      <c r="BP34" s="149"/>
      <c r="BQ34" s="149"/>
      <c r="BR34" s="149"/>
      <c r="BS34" s="149"/>
      <c r="BT34" s="149"/>
      <c r="BU34" s="149"/>
      <c r="BV34" s="149"/>
      <c r="BW34" s="149"/>
      <c r="BX34" s="149"/>
      <c r="BY34" s="149"/>
      <c r="BZ34" s="149"/>
      <c r="CA34" s="149"/>
      <c r="CB34" s="149"/>
      <c r="CC34" s="149"/>
      <c r="CD34" s="149"/>
      <c r="CE34" s="149"/>
      <c r="CF34" s="149"/>
      <c r="CG34" s="149"/>
      <c r="CH34" s="149"/>
      <c r="CI34" s="149"/>
      <c r="CJ34" s="149"/>
      <c r="CK34" s="149"/>
      <c r="CL34" s="149"/>
      <c r="CM34" s="149"/>
      <c r="CN34" s="149"/>
      <c r="CO34" s="149"/>
      <c r="CP34" s="149"/>
      <c r="CQ34" s="149"/>
      <c r="CR34" s="149"/>
    </row>
    <row r="35" spans="1:96" ht="14.1" customHeight="1">
      <c r="A35" s="2"/>
      <c r="B35" s="149"/>
      <c r="C35" s="149"/>
      <c r="D35" s="66">
        <v>17</v>
      </c>
      <c r="E35" s="170" t="s">
        <v>298</v>
      </c>
      <c r="F35" s="155" t="s">
        <v>299</v>
      </c>
      <c r="G35" s="24">
        <v>97.991110916120249</v>
      </c>
      <c r="H35" s="24">
        <v>6.3239532967032961</v>
      </c>
      <c r="I35" s="24">
        <v>98.018483345404434</v>
      </c>
      <c r="J35" s="24">
        <v>6.2893428571428576</v>
      </c>
      <c r="K35" s="73">
        <v>7010</v>
      </c>
      <c r="L35" s="37">
        <v>3</v>
      </c>
      <c r="M35" s="75">
        <v>100</v>
      </c>
      <c r="N35" s="75">
        <v>100</v>
      </c>
      <c r="O35" s="201">
        <f t="shared" ca="1" si="6"/>
        <v>117</v>
      </c>
      <c r="P35" s="203">
        <v>46356</v>
      </c>
      <c r="Q35" s="160"/>
      <c r="R35" s="149"/>
      <c r="S35" s="151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  <c r="BN35" s="149"/>
      <c r="BO35" s="149"/>
      <c r="BP35" s="149"/>
      <c r="BQ35" s="149"/>
      <c r="BR35" s="149"/>
      <c r="BS35" s="149"/>
      <c r="BT35" s="149"/>
      <c r="BU35" s="149"/>
      <c r="BV35" s="149"/>
      <c r="BW35" s="149"/>
      <c r="BX35" s="149"/>
      <c r="BY35" s="149"/>
      <c r="BZ35" s="149"/>
      <c r="CA35" s="149"/>
      <c r="CB35" s="149"/>
      <c r="CC35" s="149"/>
      <c r="CD35" s="149"/>
      <c r="CE35" s="149"/>
      <c r="CF35" s="149"/>
      <c r="CG35" s="149"/>
      <c r="CH35" s="149"/>
      <c r="CI35" s="149"/>
      <c r="CJ35" s="149"/>
      <c r="CK35" s="149"/>
      <c r="CL35" s="149"/>
      <c r="CM35" s="149"/>
      <c r="CN35" s="149"/>
      <c r="CO35" s="149"/>
      <c r="CP35" s="149"/>
      <c r="CQ35" s="149"/>
      <c r="CR35" s="149"/>
    </row>
    <row r="36" spans="1:96" ht="14.1" customHeight="1">
      <c r="A36" s="2"/>
      <c r="B36" s="149"/>
      <c r="C36" s="149"/>
      <c r="D36" s="66">
        <v>18</v>
      </c>
      <c r="E36" s="170" t="s">
        <v>300</v>
      </c>
      <c r="F36" s="155" t="s">
        <v>301</v>
      </c>
      <c r="G36" s="24">
        <v>97.826049076875194</v>
      </c>
      <c r="H36" s="24">
        <v>6.4712263736263731</v>
      </c>
      <c r="I36" s="24">
        <v>97.855106863915239</v>
      </c>
      <c r="J36" s="24">
        <v>6.4343082417582416</v>
      </c>
      <c r="K36" s="73">
        <v>56321</v>
      </c>
      <c r="L36" s="37">
        <v>4</v>
      </c>
      <c r="M36" s="24">
        <v>96.645300000000006</v>
      </c>
      <c r="N36" s="75">
        <v>96.500500000000002</v>
      </c>
      <c r="O36" s="201">
        <f t="shared" ref="O36:O37" ca="1" si="7">P36-TODAY()</f>
        <v>124</v>
      </c>
      <c r="P36" s="203">
        <v>46363</v>
      </c>
      <c r="Q36" s="160"/>
      <c r="R36" s="149"/>
      <c r="S36" s="151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  <c r="BN36" s="149"/>
      <c r="BO36" s="149"/>
      <c r="BP36" s="149"/>
      <c r="BQ36" s="149"/>
      <c r="BR36" s="149"/>
      <c r="BS36" s="149"/>
      <c r="BT36" s="149"/>
      <c r="BU36" s="149"/>
      <c r="BV36" s="149"/>
      <c r="BW36" s="149"/>
      <c r="BX36" s="149"/>
      <c r="BY36" s="149"/>
      <c r="BZ36" s="149"/>
      <c r="CA36" s="149"/>
      <c r="CB36" s="149"/>
      <c r="CC36" s="149"/>
      <c r="CD36" s="149"/>
      <c r="CE36" s="149"/>
      <c r="CF36" s="149"/>
      <c r="CG36" s="149"/>
      <c r="CH36" s="149"/>
      <c r="CI36" s="149"/>
      <c r="CJ36" s="149"/>
      <c r="CK36" s="149"/>
      <c r="CL36" s="149"/>
      <c r="CM36" s="149"/>
      <c r="CN36" s="149"/>
      <c r="CO36" s="149"/>
      <c r="CP36" s="149"/>
      <c r="CQ36" s="149"/>
      <c r="CR36" s="149"/>
    </row>
    <row r="37" spans="1:96" ht="14.1" customHeight="1">
      <c r="A37" s="2"/>
      <c r="B37" s="149"/>
      <c r="C37" s="149"/>
      <c r="D37" s="66">
        <v>19</v>
      </c>
      <c r="E37" s="173" t="s">
        <v>302</v>
      </c>
      <c r="F37" s="155" t="s">
        <v>303</v>
      </c>
      <c r="G37" s="24">
        <v>97.656140150800212</v>
      </c>
      <c r="H37" s="24">
        <v>6.6184994505494501</v>
      </c>
      <c r="I37" s="24">
        <v>97.686953173091212</v>
      </c>
      <c r="J37" s="24">
        <v>6.5792736263736264</v>
      </c>
      <c r="K37" s="73">
        <v>402242</v>
      </c>
      <c r="L37" s="37">
        <v>6</v>
      </c>
      <c r="M37" s="24">
        <v>100</v>
      </c>
      <c r="N37" s="75">
        <v>100</v>
      </c>
      <c r="O37" s="201">
        <f t="shared" ca="1" si="7"/>
        <v>131</v>
      </c>
      <c r="P37" s="203">
        <v>46370</v>
      </c>
      <c r="Q37" s="160"/>
      <c r="R37" s="149"/>
      <c r="S37" s="151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  <c r="BN37" s="149"/>
      <c r="BO37" s="149"/>
      <c r="BP37" s="149"/>
      <c r="BQ37" s="149"/>
      <c r="BR37" s="149"/>
      <c r="BS37" s="149"/>
      <c r="BT37" s="149"/>
      <c r="BU37" s="149"/>
      <c r="BV37" s="149"/>
      <c r="BW37" s="149"/>
      <c r="BX37" s="149"/>
      <c r="BY37" s="149"/>
      <c r="BZ37" s="149"/>
      <c r="CA37" s="149"/>
      <c r="CB37" s="149"/>
      <c r="CC37" s="149"/>
      <c r="CD37" s="149"/>
      <c r="CE37" s="149"/>
      <c r="CF37" s="149"/>
      <c r="CG37" s="149"/>
      <c r="CH37" s="149"/>
      <c r="CI37" s="149"/>
      <c r="CJ37" s="149"/>
      <c r="CK37" s="149"/>
      <c r="CL37" s="149"/>
      <c r="CM37" s="149"/>
      <c r="CN37" s="149"/>
      <c r="CO37" s="149"/>
      <c r="CP37" s="149"/>
      <c r="CQ37" s="149"/>
      <c r="CR37" s="149"/>
    </row>
    <row r="38" spans="1:96" ht="14.1" customHeight="1">
      <c r="A38" s="2"/>
      <c r="B38" s="149"/>
      <c r="C38" s="149"/>
      <c r="D38" s="66">
        <v>20</v>
      </c>
      <c r="E38" s="173" t="s">
        <v>304</v>
      </c>
      <c r="F38" s="155" t="s">
        <v>305</v>
      </c>
      <c r="G38" s="24">
        <v>97.481437494192136</v>
      </c>
      <c r="H38" s="24">
        <v>6.7657725274725271</v>
      </c>
      <c r="I38" s="24">
        <v>97.514074284222573</v>
      </c>
      <c r="J38" s="24">
        <v>6.7242390109890113</v>
      </c>
      <c r="K38" s="73">
        <v>87783</v>
      </c>
      <c r="L38" s="37">
        <v>3</v>
      </c>
      <c r="M38" s="24">
        <v>97.4756</v>
      </c>
      <c r="N38" s="75">
        <v>96.697699999999998</v>
      </c>
      <c r="O38" s="201">
        <f t="shared" ref="O38" ca="1" si="8">P38-TODAY()</f>
        <v>138</v>
      </c>
      <c r="P38" s="203">
        <v>46377</v>
      </c>
      <c r="Q38" s="160"/>
      <c r="R38" s="149"/>
      <c r="S38" s="151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  <c r="BN38" s="149"/>
      <c r="BO38" s="149"/>
      <c r="BP38" s="149"/>
      <c r="BQ38" s="149"/>
      <c r="BR38" s="149"/>
      <c r="BS38" s="149"/>
      <c r="BT38" s="149"/>
      <c r="BU38" s="149"/>
      <c r="BV38" s="149"/>
      <c r="BW38" s="149"/>
      <c r="BX38" s="149"/>
      <c r="BY38" s="149"/>
      <c r="BZ38" s="149"/>
      <c r="CA38" s="149"/>
      <c r="CB38" s="149"/>
      <c r="CC38" s="149"/>
      <c r="CD38" s="149"/>
      <c r="CE38" s="149"/>
      <c r="CF38" s="149"/>
      <c r="CG38" s="149"/>
      <c r="CH38" s="149"/>
      <c r="CI38" s="149"/>
      <c r="CJ38" s="149"/>
      <c r="CK38" s="149"/>
      <c r="CL38" s="149"/>
      <c r="CM38" s="149"/>
      <c r="CN38" s="149"/>
      <c r="CO38" s="149"/>
      <c r="CP38" s="149"/>
      <c r="CQ38" s="149"/>
      <c r="CR38" s="149"/>
    </row>
    <row r="39" spans="1:96" ht="14.1" customHeight="1">
      <c r="A39" s="2"/>
      <c r="B39" s="149"/>
      <c r="C39" s="149"/>
      <c r="D39" s="66">
        <v>21</v>
      </c>
      <c r="E39" s="173" t="s">
        <v>306</v>
      </c>
      <c r="F39" s="155" t="s">
        <v>307</v>
      </c>
      <c r="G39" s="24">
        <v>97.301995673369476</v>
      </c>
      <c r="H39" s="24">
        <v>6.9130456043956041</v>
      </c>
      <c r="I39" s="24">
        <v>97.336523385376566</v>
      </c>
      <c r="J39" s="24">
        <v>6.8692043956043953</v>
      </c>
      <c r="K39" s="73"/>
      <c r="L39" s="37"/>
      <c r="M39" s="24">
        <v>96.908100000000005</v>
      </c>
      <c r="N39" s="75">
        <v>96.908100000000005</v>
      </c>
      <c r="O39" s="201">
        <f ca="1">P39-TODAY()</f>
        <v>145</v>
      </c>
      <c r="P39" s="203">
        <v>46384</v>
      </c>
      <c r="Q39" s="160"/>
      <c r="R39" s="149"/>
      <c r="S39" s="151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  <c r="BN39" s="149"/>
      <c r="BO39" s="149"/>
      <c r="BP39" s="149"/>
      <c r="BQ39" s="149"/>
      <c r="BR39" s="149"/>
      <c r="BS39" s="149"/>
      <c r="BT39" s="149"/>
      <c r="BU39" s="149"/>
      <c r="BV39" s="149"/>
      <c r="BW39" s="149"/>
      <c r="BX39" s="149"/>
      <c r="BY39" s="149"/>
      <c r="BZ39" s="149"/>
      <c r="CA39" s="149"/>
      <c r="CB39" s="149"/>
      <c r="CC39" s="149"/>
      <c r="CD39" s="149"/>
      <c r="CE39" s="149"/>
      <c r="CF39" s="149"/>
      <c r="CG39" s="149"/>
      <c r="CH39" s="149"/>
      <c r="CI39" s="149"/>
      <c r="CJ39" s="149"/>
      <c r="CK39" s="149"/>
      <c r="CL39" s="149"/>
      <c r="CM39" s="149"/>
      <c r="CN39" s="149"/>
      <c r="CO39" s="149"/>
      <c r="CP39" s="149"/>
      <c r="CQ39" s="149"/>
      <c r="CR39" s="149"/>
    </row>
    <row r="40" spans="1:96" ht="14.1" customHeight="1">
      <c r="A40" s="2"/>
      <c r="B40" s="149"/>
      <c r="C40" s="149"/>
      <c r="D40" s="66">
        <v>22</v>
      </c>
      <c r="E40" s="173" t="s">
        <v>308</v>
      </c>
      <c r="F40" s="155" t="s">
        <v>309</v>
      </c>
      <c r="G40" s="24">
        <v>97.117870423871892</v>
      </c>
      <c r="H40" s="24">
        <v>7.0603186813186802</v>
      </c>
      <c r="I40" s="24">
        <v>97.154354802211429</v>
      </c>
      <c r="J40" s="24">
        <v>7.0141697802197802</v>
      </c>
      <c r="K40" s="73">
        <v>352734</v>
      </c>
      <c r="L40" s="37">
        <v>4</v>
      </c>
      <c r="M40" s="24">
        <v>100</v>
      </c>
      <c r="N40" s="75">
        <v>100</v>
      </c>
      <c r="O40" s="201">
        <f t="shared" ref="O40" ca="1" si="9">P40-TODAY()</f>
        <v>152</v>
      </c>
      <c r="P40" s="203">
        <v>46391</v>
      </c>
      <c r="Q40" s="160"/>
      <c r="R40" s="149"/>
      <c r="S40" s="151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  <c r="BI40" s="149"/>
      <c r="BJ40" s="149"/>
      <c r="BK40" s="149"/>
      <c r="BL40" s="149"/>
      <c r="BM40" s="149"/>
      <c r="BN40" s="149"/>
      <c r="BO40" s="149"/>
      <c r="BP40" s="149"/>
      <c r="BQ40" s="149"/>
      <c r="BR40" s="149"/>
      <c r="BS40" s="149"/>
      <c r="BT40" s="149"/>
      <c r="BU40" s="149"/>
      <c r="BV40" s="149"/>
      <c r="BW40" s="149"/>
      <c r="BX40" s="149"/>
      <c r="BY40" s="149"/>
      <c r="BZ40" s="149"/>
      <c r="CA40" s="149"/>
      <c r="CB40" s="149"/>
      <c r="CC40" s="149"/>
      <c r="CD40" s="149"/>
      <c r="CE40" s="149"/>
      <c r="CF40" s="149"/>
      <c r="CG40" s="149"/>
      <c r="CH40" s="149"/>
      <c r="CI40" s="149"/>
      <c r="CJ40" s="149"/>
      <c r="CK40" s="149"/>
      <c r="CL40" s="149"/>
      <c r="CM40" s="149"/>
      <c r="CN40" s="149"/>
      <c r="CO40" s="149"/>
      <c r="CP40" s="149"/>
      <c r="CQ40" s="149"/>
      <c r="CR40" s="149"/>
    </row>
    <row r="41" spans="1:96" ht="14.1" customHeight="1">
      <c r="A41" s="2"/>
      <c r="B41" s="149"/>
      <c r="C41" s="149"/>
      <c r="D41" s="66">
        <v>23</v>
      </c>
      <c r="E41" s="173" t="s">
        <v>310</v>
      </c>
      <c r="F41" s="155" t="s">
        <v>311</v>
      </c>
      <c r="G41" s="24">
        <v>96.929118609139024</v>
      </c>
      <c r="H41" s="24">
        <v>7.2075917582417581</v>
      </c>
      <c r="I41" s="24">
        <v>96.967623958288002</v>
      </c>
      <c r="J41" s="24">
        <v>7.1591351648351651</v>
      </c>
      <c r="K41" s="73">
        <v>275458</v>
      </c>
      <c r="L41" s="37">
        <v>4</v>
      </c>
      <c r="M41" s="24">
        <v>100</v>
      </c>
      <c r="N41" s="75">
        <v>100</v>
      </c>
      <c r="O41" s="201">
        <f ca="1">P41-TODAY()</f>
        <v>159</v>
      </c>
      <c r="P41" s="203">
        <v>46398</v>
      </c>
      <c r="Q41" s="160"/>
      <c r="R41" s="149"/>
      <c r="S41" s="151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  <c r="BM41" s="149"/>
      <c r="BN41" s="149"/>
      <c r="BO41" s="149"/>
      <c r="BP41" s="149"/>
      <c r="BQ41" s="149"/>
      <c r="BR41" s="149"/>
      <c r="BS41" s="149"/>
      <c r="BT41" s="149"/>
      <c r="BU41" s="149"/>
      <c r="BV41" s="149"/>
      <c r="BW41" s="149"/>
      <c r="BX41" s="149"/>
      <c r="BY41" s="149"/>
      <c r="BZ41" s="149"/>
      <c r="CA41" s="149"/>
      <c r="CB41" s="149"/>
      <c r="CC41" s="149"/>
      <c r="CD41" s="149"/>
      <c r="CE41" s="149"/>
      <c r="CF41" s="149"/>
      <c r="CG41" s="149"/>
      <c r="CH41" s="149"/>
      <c r="CI41" s="149"/>
      <c r="CJ41" s="149"/>
      <c r="CK41" s="149"/>
      <c r="CL41" s="149"/>
      <c r="CM41" s="149"/>
      <c r="CN41" s="149"/>
      <c r="CO41" s="149"/>
      <c r="CP41" s="149"/>
      <c r="CQ41" s="149"/>
      <c r="CR41" s="149"/>
    </row>
    <row r="42" spans="1:96" ht="14.1" customHeight="1">
      <c r="A42" s="2"/>
      <c r="B42" s="149"/>
      <c r="C42" s="149"/>
      <c r="D42" s="66">
        <v>24</v>
      </c>
      <c r="E42" s="173" t="s">
        <v>312</v>
      </c>
      <c r="F42" s="155" t="s">
        <v>313</v>
      </c>
      <c r="G42" s="24">
        <v>96.735798178722774</v>
      </c>
      <c r="H42" s="24">
        <v>7.3548648351648342</v>
      </c>
      <c r="I42" s="24">
        <v>96.776387334930064</v>
      </c>
      <c r="J42" s="24">
        <v>7.30410054945055</v>
      </c>
      <c r="K42" s="73">
        <v>15783</v>
      </c>
      <c r="L42" s="37">
        <v>1</v>
      </c>
      <c r="M42" s="24">
        <v>96.646799999999999</v>
      </c>
      <c r="N42" s="75">
        <v>96.646799999999999</v>
      </c>
      <c r="O42" s="201">
        <f ca="1">P42-TODAY()</f>
        <v>166</v>
      </c>
      <c r="P42" s="203">
        <v>46405</v>
      </c>
      <c r="Q42" s="160"/>
      <c r="R42" s="149"/>
      <c r="S42" s="151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  <c r="BI42" s="149"/>
      <c r="BJ42" s="149"/>
      <c r="BK42" s="149"/>
      <c r="BL42" s="149"/>
      <c r="BM42" s="149"/>
      <c r="BN42" s="149"/>
      <c r="BO42" s="149"/>
      <c r="BP42" s="149"/>
      <c r="BQ42" s="149"/>
      <c r="BR42" s="149"/>
      <c r="BS42" s="149"/>
      <c r="BT42" s="149"/>
      <c r="BU42" s="149"/>
      <c r="BV42" s="149"/>
      <c r="BW42" s="149"/>
      <c r="BX42" s="149"/>
      <c r="BY42" s="149"/>
      <c r="BZ42" s="149"/>
      <c r="CA42" s="149"/>
      <c r="CB42" s="149"/>
      <c r="CC42" s="149"/>
      <c r="CD42" s="149"/>
      <c r="CE42" s="149"/>
      <c r="CF42" s="149"/>
      <c r="CG42" s="149"/>
      <c r="CH42" s="149"/>
      <c r="CI42" s="149"/>
      <c r="CJ42" s="149"/>
      <c r="CK42" s="149"/>
      <c r="CL42" s="149"/>
      <c r="CM42" s="149"/>
      <c r="CN42" s="149"/>
      <c r="CO42" s="149"/>
      <c r="CP42" s="149"/>
      <c r="CQ42" s="149"/>
      <c r="CR42" s="149"/>
    </row>
    <row r="43" spans="1:96" ht="14.1" customHeight="1">
      <c r="A43" s="2"/>
      <c r="B43" s="149"/>
      <c r="C43" s="149"/>
      <c r="D43" s="66">
        <v>25</v>
      </c>
      <c r="E43" s="173" t="s">
        <v>314</v>
      </c>
      <c r="F43" s="155" t="s">
        <v>315</v>
      </c>
      <c r="G43" s="24">
        <v>96.537968126087094</v>
      </c>
      <c r="H43" s="24">
        <v>7.5021379120879121</v>
      </c>
      <c r="I43" s="24">
        <v>96.580702430684852</v>
      </c>
      <c r="J43" s="24">
        <v>7.449065934065934</v>
      </c>
      <c r="K43" s="73">
        <v>7335248</v>
      </c>
      <c r="L43" s="37">
        <v>14</v>
      </c>
      <c r="M43" s="24">
        <v>100</v>
      </c>
      <c r="N43" s="75">
        <v>94.593000000000004</v>
      </c>
      <c r="O43" s="201">
        <f ca="1">P43-TODAY()</f>
        <v>173</v>
      </c>
      <c r="P43" s="203">
        <v>46412</v>
      </c>
      <c r="Q43" s="160"/>
      <c r="R43" s="149"/>
      <c r="S43" s="151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  <c r="BN43" s="149"/>
      <c r="BO43" s="149"/>
      <c r="BP43" s="149"/>
      <c r="BQ43" s="149"/>
      <c r="BR43" s="149"/>
      <c r="BS43" s="149"/>
      <c r="BT43" s="149"/>
      <c r="BU43" s="149"/>
      <c r="BV43" s="149"/>
      <c r="BW43" s="149"/>
      <c r="BX43" s="149"/>
      <c r="BY43" s="149"/>
      <c r="BZ43" s="149"/>
      <c r="CA43" s="149"/>
      <c r="CB43" s="149"/>
      <c r="CC43" s="149"/>
      <c r="CD43" s="149"/>
      <c r="CE43" s="149"/>
      <c r="CF43" s="149"/>
      <c r="CG43" s="149"/>
      <c r="CH43" s="149"/>
      <c r="CI43" s="149"/>
      <c r="CJ43" s="149"/>
      <c r="CK43" s="149"/>
      <c r="CL43" s="149"/>
      <c r="CM43" s="149"/>
      <c r="CN43" s="149"/>
      <c r="CO43" s="149"/>
      <c r="CP43" s="149"/>
      <c r="CQ43" s="149"/>
      <c r="CR43" s="149"/>
    </row>
    <row r="44" spans="1:96" ht="14.1" customHeight="1">
      <c r="A44" s="2"/>
      <c r="B44" s="149"/>
      <c r="C44" s="149"/>
      <c r="D44" s="66">
        <v>26</v>
      </c>
      <c r="E44" s="173" t="s">
        <v>316</v>
      </c>
      <c r="F44" s="189" t="s">
        <v>317</v>
      </c>
      <c r="G44" s="24">
        <v>96.335688446049446</v>
      </c>
      <c r="H44" s="24">
        <v>7.6494109890109891</v>
      </c>
      <c r="I44" s="24">
        <v>96.380627720434987</v>
      </c>
      <c r="J44" s="24">
        <v>7.5940313186813189</v>
      </c>
      <c r="K44" s="73">
        <v>180129</v>
      </c>
      <c r="L44" s="37">
        <v>4</v>
      </c>
      <c r="M44" s="24"/>
      <c r="N44" s="75"/>
      <c r="O44" s="201">
        <f ca="1">P44-TODAY()</f>
        <v>180</v>
      </c>
      <c r="P44" s="203">
        <v>46419</v>
      </c>
      <c r="Q44" s="160"/>
      <c r="R44" s="149"/>
      <c r="S44" s="151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  <c r="BN44" s="149"/>
      <c r="BO44" s="149"/>
      <c r="BP44" s="149"/>
      <c r="BQ44" s="149"/>
      <c r="BR44" s="149"/>
      <c r="BS44" s="149"/>
      <c r="BT44" s="149"/>
      <c r="BU44" s="149"/>
      <c r="BV44" s="149"/>
      <c r="BW44" s="149"/>
      <c r="BX44" s="149"/>
      <c r="BY44" s="149"/>
      <c r="BZ44" s="149"/>
      <c r="CA44" s="149"/>
      <c r="CB44" s="149"/>
      <c r="CC44" s="149"/>
      <c r="CD44" s="149"/>
      <c r="CE44" s="149"/>
      <c r="CF44" s="149"/>
      <c r="CG44" s="149"/>
      <c r="CH44" s="149"/>
      <c r="CI44" s="149"/>
      <c r="CJ44" s="149"/>
      <c r="CK44" s="149"/>
      <c r="CL44" s="149"/>
      <c r="CM44" s="149"/>
      <c r="CN44" s="149"/>
      <c r="CO44" s="149"/>
      <c r="CP44" s="149"/>
      <c r="CQ44" s="149"/>
      <c r="CR44" s="149"/>
    </row>
    <row r="45" spans="1:96" ht="14.1" customHeight="1">
      <c r="A45" s="2"/>
      <c r="B45" s="149"/>
      <c r="C45" s="149"/>
      <c r="D45" s="149"/>
      <c r="E45" s="170"/>
      <c r="F45" s="149"/>
      <c r="G45" s="204"/>
      <c r="H45" s="204"/>
      <c r="I45" s="204"/>
      <c r="J45" s="204"/>
      <c r="K45" s="147"/>
      <c r="L45" s="9"/>
      <c r="M45" s="205"/>
      <c r="N45" s="205"/>
      <c r="O45" s="201"/>
      <c r="P45" s="203"/>
      <c r="Q45" s="160"/>
      <c r="R45" s="149"/>
      <c r="S45" s="151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  <c r="BM45" s="149"/>
      <c r="BN45" s="149"/>
      <c r="BO45" s="149"/>
      <c r="BP45" s="149"/>
      <c r="BQ45" s="149"/>
      <c r="BR45" s="149"/>
      <c r="BS45" s="149"/>
      <c r="BT45" s="149"/>
      <c r="BU45" s="149"/>
      <c r="BV45" s="149"/>
      <c r="BW45" s="149"/>
      <c r="BX45" s="149"/>
      <c r="BY45" s="149"/>
      <c r="BZ45" s="149"/>
      <c r="CA45" s="149"/>
      <c r="CB45" s="149"/>
      <c r="CC45" s="149"/>
      <c r="CD45" s="149"/>
      <c r="CE45" s="149"/>
      <c r="CF45" s="149"/>
      <c r="CG45" s="149"/>
      <c r="CH45" s="149"/>
      <c r="CI45" s="149"/>
      <c r="CJ45" s="149"/>
      <c r="CK45" s="149"/>
      <c r="CL45" s="149"/>
      <c r="CM45" s="149"/>
      <c r="CN45" s="149"/>
      <c r="CO45" s="149"/>
      <c r="CP45" s="149"/>
      <c r="CQ45" s="149"/>
      <c r="CR45" s="149"/>
    </row>
    <row r="46" spans="1:96">
      <c r="A46" s="149"/>
      <c r="B46" s="149"/>
      <c r="C46" s="2" t="s">
        <v>318</v>
      </c>
      <c r="D46" s="8">
        <v>1</v>
      </c>
      <c r="E46" s="173" t="s">
        <v>319</v>
      </c>
      <c r="F46" s="189" t="s">
        <v>320</v>
      </c>
      <c r="G46" s="142">
        <v>99.841529124463975</v>
      </c>
      <c r="H46" s="142">
        <v>9.6291591954023001</v>
      </c>
      <c r="I46" s="142">
        <v>99.866330631975302</v>
      </c>
      <c r="J46" s="142">
        <v>9.7441549425287377</v>
      </c>
      <c r="K46" s="77">
        <v>40869</v>
      </c>
      <c r="L46" s="9">
        <v>1</v>
      </c>
      <c r="M46" s="24">
        <v>99.429199999999994</v>
      </c>
      <c r="N46" s="24">
        <v>99.429199999999994</v>
      </c>
      <c r="O46" s="201">
        <f t="shared" ref="O46:O47" ca="1" si="10">P46-TODAY()</f>
        <v>5</v>
      </c>
      <c r="P46" s="207">
        <v>46244</v>
      </c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49"/>
      <c r="BM46" s="149"/>
      <c r="BN46" s="149"/>
      <c r="BO46" s="149"/>
      <c r="BP46" s="149"/>
      <c r="BQ46" s="149"/>
      <c r="BR46" s="149"/>
      <c r="BS46" s="149"/>
      <c r="BT46" s="149"/>
      <c r="BU46" s="149"/>
      <c r="BV46" s="149"/>
      <c r="BW46" s="149"/>
      <c r="BX46" s="149"/>
      <c r="BY46" s="149"/>
      <c r="BZ46" s="149"/>
      <c r="CA46" s="149"/>
      <c r="CB46" s="149"/>
      <c r="CC46" s="149"/>
      <c r="CD46" s="149"/>
      <c r="CE46" s="149"/>
      <c r="CF46" s="149"/>
      <c r="CG46" s="149"/>
      <c r="CH46" s="149"/>
      <c r="CI46" s="149"/>
      <c r="CJ46" s="149"/>
      <c r="CK46" s="149"/>
      <c r="CL46" s="149"/>
      <c r="CM46" s="149"/>
      <c r="CN46" s="149"/>
      <c r="CO46" s="149"/>
      <c r="CP46" s="149"/>
      <c r="CQ46" s="149"/>
      <c r="CR46" s="149"/>
    </row>
    <row r="47" spans="1:96">
      <c r="A47" s="149"/>
      <c r="B47" s="149"/>
      <c r="C47" s="182"/>
      <c r="D47" s="8">
        <v>2</v>
      </c>
      <c r="E47" s="173" t="s">
        <v>321</v>
      </c>
      <c r="F47" s="189" t="s">
        <v>322</v>
      </c>
      <c r="G47" s="24">
        <v>99.687125474579531</v>
      </c>
      <c r="H47" s="24">
        <v>8.787982068965519</v>
      </c>
      <c r="I47" s="24">
        <v>99.707650831659635</v>
      </c>
      <c r="J47" s="24">
        <v>8.8939260919540235</v>
      </c>
      <c r="K47" s="77"/>
      <c r="L47" s="9"/>
      <c r="M47" s="24">
        <v>99.132599999999996</v>
      </c>
      <c r="N47" s="24">
        <v>99.012</v>
      </c>
      <c r="O47" s="201">
        <f t="shared" ca="1" si="10"/>
        <v>12</v>
      </c>
      <c r="P47" s="206">
        <v>46251</v>
      </c>
      <c r="Q47" s="206">
        <v>46238</v>
      </c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  <c r="BI47" s="149"/>
      <c r="BJ47" s="149"/>
      <c r="BK47" s="149"/>
      <c r="BL47" s="149"/>
      <c r="BM47" s="149"/>
      <c r="BN47" s="149"/>
      <c r="BO47" s="149"/>
      <c r="BP47" s="149"/>
      <c r="BQ47" s="149"/>
      <c r="BR47" s="149"/>
      <c r="BS47" s="149"/>
      <c r="BT47" s="149"/>
      <c r="BU47" s="149"/>
      <c r="BV47" s="149"/>
      <c r="BW47" s="149"/>
      <c r="BX47" s="149"/>
      <c r="BY47" s="149"/>
      <c r="BZ47" s="149"/>
      <c r="CA47" s="149"/>
      <c r="CB47" s="149"/>
      <c r="CC47" s="149"/>
      <c r="CD47" s="149"/>
      <c r="CE47" s="149"/>
      <c r="CF47" s="149"/>
      <c r="CG47" s="149"/>
      <c r="CH47" s="149"/>
      <c r="CI47" s="149"/>
      <c r="CJ47" s="149"/>
      <c r="CK47" s="149"/>
      <c r="CL47" s="149"/>
      <c r="CM47" s="149"/>
      <c r="CN47" s="149"/>
      <c r="CO47" s="149"/>
      <c r="CP47" s="149"/>
      <c r="CQ47" s="149"/>
      <c r="CR47" s="149"/>
    </row>
    <row r="48" spans="1:96">
      <c r="A48" s="149"/>
      <c r="B48" s="149"/>
      <c r="C48" s="182"/>
      <c r="D48" s="8">
        <v>3</v>
      </c>
      <c r="E48" s="173" t="s">
        <v>323</v>
      </c>
      <c r="F48" s="189" t="s">
        <v>324</v>
      </c>
      <c r="G48" s="24">
        <v>99.565260601619173</v>
      </c>
      <c r="H48" s="24">
        <v>7.9468049425287361</v>
      </c>
      <c r="I48" s="24">
        <v>99.58189216388709</v>
      </c>
      <c r="J48" s="24">
        <v>8.0436972413793111</v>
      </c>
      <c r="K48" s="77">
        <v>201</v>
      </c>
      <c r="L48" s="9">
        <v>1</v>
      </c>
      <c r="M48" s="24">
        <v>98.747500000000002</v>
      </c>
      <c r="N48" s="24">
        <v>98.747500000000002</v>
      </c>
      <c r="O48" s="201">
        <f t="shared" ref="O48:O95" ca="1" si="11">P48-TODAY()</f>
        <v>19</v>
      </c>
      <c r="P48" s="206">
        <v>46258</v>
      </c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  <c r="BI48" s="149"/>
      <c r="BJ48" s="149"/>
      <c r="BK48" s="149"/>
      <c r="BL48" s="149"/>
      <c r="BM48" s="149"/>
      <c r="BN48" s="149"/>
      <c r="BO48" s="149"/>
      <c r="BP48" s="149"/>
      <c r="BQ48" s="149"/>
      <c r="BR48" s="149"/>
      <c r="BS48" s="149"/>
      <c r="BT48" s="149"/>
      <c r="BU48" s="149"/>
      <c r="BV48" s="149"/>
      <c r="BW48" s="149"/>
      <c r="BX48" s="149"/>
      <c r="BY48" s="149"/>
      <c r="BZ48" s="149"/>
      <c r="CA48" s="149"/>
      <c r="CB48" s="149"/>
      <c r="CC48" s="149"/>
      <c r="CD48" s="149"/>
      <c r="CE48" s="149"/>
      <c r="CF48" s="149"/>
      <c r="CG48" s="149"/>
      <c r="CH48" s="149"/>
      <c r="CI48" s="149"/>
      <c r="CJ48" s="149"/>
      <c r="CK48" s="149"/>
      <c r="CL48" s="149"/>
      <c r="CM48" s="149"/>
      <c r="CN48" s="149"/>
      <c r="CO48" s="149"/>
      <c r="CP48" s="149"/>
      <c r="CQ48" s="149"/>
      <c r="CR48" s="149"/>
    </row>
    <row r="49" spans="1:96">
      <c r="A49" s="149"/>
      <c r="B49" s="149"/>
      <c r="C49" s="182"/>
      <c r="D49" s="8">
        <v>4</v>
      </c>
      <c r="E49" s="173" t="s">
        <v>325</v>
      </c>
      <c r="F49" s="189" t="s">
        <v>326</v>
      </c>
      <c r="G49" s="142">
        <v>99.475697618991205</v>
      </c>
      <c r="H49" s="142">
        <v>7.105627816091955</v>
      </c>
      <c r="I49" s="142">
        <v>99.488807434628683</v>
      </c>
      <c r="J49" s="142">
        <v>7.1934683908045987</v>
      </c>
      <c r="K49" s="77"/>
      <c r="L49" s="9"/>
      <c r="M49" s="24">
        <v>98.793199999999999</v>
      </c>
      <c r="N49" s="24">
        <v>98.793199999999999</v>
      </c>
      <c r="O49" s="201">
        <f t="shared" ca="1" si="11"/>
        <v>26</v>
      </c>
      <c r="P49" s="207">
        <v>46265</v>
      </c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  <c r="BV49" s="149"/>
      <c r="BW49" s="149"/>
      <c r="BX49" s="149"/>
      <c r="BY49" s="149"/>
      <c r="BZ49" s="149"/>
      <c r="CA49" s="149"/>
      <c r="CB49" s="149"/>
      <c r="CC49" s="149"/>
      <c r="CD49" s="149"/>
      <c r="CE49" s="149"/>
      <c r="CF49" s="149"/>
      <c r="CG49" s="149"/>
      <c r="CH49" s="149"/>
      <c r="CI49" s="149"/>
      <c r="CJ49" s="149"/>
      <c r="CK49" s="149"/>
      <c r="CL49" s="149"/>
      <c r="CM49" s="149"/>
      <c r="CN49" s="149"/>
      <c r="CO49" s="149"/>
      <c r="CP49" s="149"/>
      <c r="CQ49" s="149"/>
      <c r="CR49" s="149"/>
    </row>
    <row r="50" spans="1:96">
      <c r="A50" s="149"/>
      <c r="B50" s="149"/>
      <c r="C50" s="182"/>
      <c r="D50" s="8">
        <v>5</v>
      </c>
      <c r="E50" s="173" t="s">
        <v>327</v>
      </c>
      <c r="F50" s="189" t="s">
        <v>328</v>
      </c>
      <c r="G50" s="142">
        <v>99.381527766099566</v>
      </c>
      <c r="H50" s="142">
        <v>6.6624966666666676</v>
      </c>
      <c r="I50" s="142">
        <v>99.400781748535067</v>
      </c>
      <c r="J50" s="142">
        <v>6.6494033333333338</v>
      </c>
      <c r="K50" s="77">
        <v>14599</v>
      </c>
      <c r="L50" s="9">
        <v>3</v>
      </c>
      <c r="M50" s="24">
        <v>99.597200000000001</v>
      </c>
      <c r="N50" s="24">
        <v>99.597200000000001</v>
      </c>
      <c r="O50" s="201">
        <f t="shared" ca="1" si="11"/>
        <v>33</v>
      </c>
      <c r="P50" s="206">
        <v>46272</v>
      </c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  <c r="BQ50" s="149"/>
      <c r="BR50" s="149"/>
      <c r="BS50" s="149"/>
      <c r="BT50" s="149"/>
      <c r="BU50" s="149"/>
      <c r="BV50" s="149"/>
      <c r="BW50" s="149"/>
      <c r="BX50" s="149"/>
      <c r="BY50" s="149"/>
      <c r="BZ50" s="149"/>
      <c r="CA50" s="149"/>
      <c r="CB50" s="149"/>
      <c r="CC50" s="149"/>
      <c r="CD50" s="149"/>
      <c r="CE50" s="149"/>
      <c r="CF50" s="149"/>
      <c r="CG50" s="149"/>
      <c r="CH50" s="149"/>
      <c r="CI50" s="149"/>
      <c r="CJ50" s="149"/>
      <c r="CK50" s="149"/>
      <c r="CL50" s="149"/>
      <c r="CM50" s="149"/>
      <c r="CN50" s="149"/>
      <c r="CO50" s="149"/>
      <c r="CP50" s="149"/>
      <c r="CQ50" s="149"/>
      <c r="CR50" s="149"/>
    </row>
    <row r="51" spans="1:96">
      <c r="A51" s="149"/>
      <c r="B51" s="149"/>
      <c r="C51" s="182"/>
      <c r="D51" s="8">
        <v>6</v>
      </c>
      <c r="E51" s="173" t="s">
        <v>329</v>
      </c>
      <c r="F51" s="189" t="s">
        <v>330</v>
      </c>
      <c r="G51" s="142">
        <v>99.271191547394039</v>
      </c>
      <c r="H51" s="142">
        <v>6.5179000000000009</v>
      </c>
      <c r="I51" s="142">
        <v>99.289311476160108</v>
      </c>
      <c r="J51" s="142">
        <v>6.5135566666666671</v>
      </c>
      <c r="K51" s="77">
        <v>16434</v>
      </c>
      <c r="L51" s="9">
        <v>1</v>
      </c>
      <c r="M51" s="24">
        <v>98.087299999999999</v>
      </c>
      <c r="N51" s="24">
        <v>98.048500000000004</v>
      </c>
      <c r="O51" s="201">
        <f t="shared" ca="1" si="11"/>
        <v>40</v>
      </c>
      <c r="P51" s="206">
        <v>46279</v>
      </c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  <c r="BQ51" s="149"/>
      <c r="BR51" s="149"/>
      <c r="BS51" s="149"/>
      <c r="BT51" s="149"/>
      <c r="BU51" s="149"/>
      <c r="BV51" s="149"/>
      <c r="BW51" s="149"/>
      <c r="BX51" s="149"/>
      <c r="BY51" s="149"/>
      <c r="BZ51" s="149"/>
      <c r="CA51" s="149"/>
      <c r="CB51" s="149"/>
      <c r="CC51" s="149"/>
      <c r="CD51" s="149"/>
      <c r="CE51" s="149"/>
      <c r="CF51" s="149"/>
      <c r="CG51" s="149"/>
      <c r="CH51" s="149"/>
      <c r="CI51" s="149"/>
      <c r="CJ51" s="149"/>
      <c r="CK51" s="149"/>
      <c r="CL51" s="149"/>
      <c r="CM51" s="149"/>
      <c r="CN51" s="149"/>
      <c r="CO51" s="149"/>
      <c r="CP51" s="149"/>
      <c r="CQ51" s="149"/>
      <c r="CR51" s="149"/>
    </row>
    <row r="52" spans="1:96">
      <c r="A52" s="149"/>
      <c r="B52" s="149"/>
      <c r="C52" s="182"/>
      <c r="D52" s="8">
        <v>7</v>
      </c>
      <c r="E52" s="173" t="s">
        <v>331</v>
      </c>
      <c r="F52" s="189" t="s">
        <v>332</v>
      </c>
      <c r="G52" s="142">
        <v>99.166568847746078</v>
      </c>
      <c r="H52" s="142">
        <v>6.3733033333333342</v>
      </c>
      <c r="I52" s="142">
        <v>99.183230537966708</v>
      </c>
      <c r="J52" s="142">
        <v>6.3777100000000004</v>
      </c>
      <c r="K52" s="77"/>
      <c r="L52" s="9"/>
      <c r="M52" s="24">
        <v>100</v>
      </c>
      <c r="N52" s="24">
        <v>98.039199999999994</v>
      </c>
      <c r="O52" s="201">
        <f t="shared" ca="1" si="11"/>
        <v>47</v>
      </c>
      <c r="P52" s="207">
        <v>46286</v>
      </c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  <c r="BS52" s="149"/>
      <c r="BT52" s="149"/>
      <c r="BU52" s="149"/>
      <c r="BV52" s="149"/>
      <c r="BW52" s="149"/>
      <c r="BX52" s="149"/>
      <c r="BY52" s="149"/>
      <c r="BZ52" s="149"/>
      <c r="CA52" s="149"/>
      <c r="CB52" s="149"/>
      <c r="CC52" s="149"/>
      <c r="CD52" s="149"/>
      <c r="CE52" s="149"/>
      <c r="CF52" s="149"/>
      <c r="CG52" s="149"/>
      <c r="CH52" s="149"/>
      <c r="CI52" s="149"/>
      <c r="CJ52" s="149"/>
      <c r="CK52" s="149"/>
      <c r="CL52" s="149"/>
      <c r="CM52" s="149"/>
      <c r="CN52" s="149"/>
      <c r="CO52" s="149"/>
      <c r="CP52" s="149"/>
      <c r="CQ52" s="149"/>
      <c r="CR52" s="149"/>
    </row>
    <row r="53" spans="1:96">
      <c r="A53" s="149"/>
      <c r="B53" s="149"/>
      <c r="C53" s="182"/>
      <c r="D53" s="8">
        <v>8</v>
      </c>
      <c r="E53" s="173" t="s">
        <v>333</v>
      </c>
      <c r="F53" s="189" t="s">
        <v>334</v>
      </c>
      <c r="G53" s="142">
        <v>99.067624327868131</v>
      </c>
      <c r="H53" s="142">
        <v>6.2287066666666675</v>
      </c>
      <c r="I53" s="142">
        <v>99.082505202344635</v>
      </c>
      <c r="J53" s="142">
        <v>6.2418633333333329</v>
      </c>
      <c r="K53" s="77"/>
      <c r="L53" s="9"/>
      <c r="M53" s="24">
        <v>100</v>
      </c>
      <c r="N53" s="24">
        <v>98.147099999999995</v>
      </c>
      <c r="O53" s="201">
        <f t="shared" ca="1" si="11"/>
        <v>54</v>
      </c>
      <c r="P53" s="206">
        <v>46293</v>
      </c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  <c r="BI53" s="149"/>
      <c r="BJ53" s="149"/>
      <c r="BK53" s="149"/>
      <c r="BL53" s="149"/>
      <c r="BM53" s="149"/>
      <c r="BN53" s="149"/>
      <c r="BO53" s="149"/>
      <c r="BP53" s="149"/>
      <c r="BQ53" s="149"/>
      <c r="BR53" s="149"/>
      <c r="BS53" s="149"/>
      <c r="BT53" s="149"/>
      <c r="BU53" s="149"/>
      <c r="BV53" s="149"/>
      <c r="BW53" s="149"/>
      <c r="BX53" s="149"/>
      <c r="BY53" s="149"/>
      <c r="BZ53" s="149"/>
      <c r="CA53" s="149"/>
      <c r="CB53" s="149"/>
      <c r="CC53" s="149"/>
      <c r="CD53" s="149"/>
      <c r="CE53" s="149"/>
      <c r="CF53" s="149"/>
      <c r="CG53" s="149"/>
      <c r="CH53" s="149"/>
      <c r="CI53" s="149"/>
      <c r="CJ53" s="149"/>
      <c r="CK53" s="149"/>
      <c r="CL53" s="149"/>
      <c r="CM53" s="149"/>
      <c r="CN53" s="149"/>
      <c r="CO53" s="149"/>
      <c r="CP53" s="149"/>
      <c r="CQ53" s="149"/>
      <c r="CR53" s="149"/>
    </row>
    <row r="54" spans="1:96">
      <c r="A54" s="149"/>
      <c r="B54" s="149"/>
      <c r="C54" s="182"/>
      <c r="D54" s="8">
        <v>9</v>
      </c>
      <c r="E54" s="173" t="s">
        <v>335</v>
      </c>
      <c r="F54" s="189" t="s">
        <v>336</v>
      </c>
      <c r="G54" s="142">
        <v>98.971409302964048</v>
      </c>
      <c r="H54" s="142">
        <v>6.1015831182795708</v>
      </c>
      <c r="I54" s="142">
        <v>98.985900710768021</v>
      </c>
      <c r="J54" s="142">
        <v>6.1133419354838718</v>
      </c>
      <c r="K54" s="77"/>
      <c r="L54" s="9"/>
      <c r="M54" s="24">
        <v>99.009900000000002</v>
      </c>
      <c r="N54" s="24">
        <v>97.5839</v>
      </c>
      <c r="O54" s="201">
        <f t="shared" ca="1" si="11"/>
        <v>61</v>
      </c>
      <c r="P54" s="206">
        <v>46300</v>
      </c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  <c r="BI54" s="149"/>
      <c r="BJ54" s="149"/>
      <c r="BK54" s="149"/>
      <c r="BL54" s="149"/>
      <c r="BM54" s="149"/>
      <c r="BN54" s="149"/>
      <c r="BO54" s="149"/>
      <c r="BP54" s="149"/>
      <c r="BQ54" s="149"/>
      <c r="BR54" s="149"/>
      <c r="BS54" s="149"/>
      <c r="BT54" s="149"/>
      <c r="BU54" s="149"/>
      <c r="BV54" s="149"/>
      <c r="BW54" s="149"/>
      <c r="BX54" s="149"/>
      <c r="BY54" s="149"/>
      <c r="BZ54" s="149"/>
      <c r="CA54" s="149"/>
      <c r="CB54" s="149"/>
      <c r="CC54" s="149"/>
      <c r="CD54" s="149"/>
      <c r="CE54" s="149"/>
      <c r="CF54" s="149"/>
      <c r="CG54" s="149"/>
      <c r="CH54" s="149"/>
      <c r="CI54" s="149"/>
      <c r="CJ54" s="149"/>
      <c r="CK54" s="149"/>
      <c r="CL54" s="149"/>
      <c r="CM54" s="149"/>
      <c r="CN54" s="149"/>
      <c r="CO54" s="149"/>
      <c r="CP54" s="149"/>
      <c r="CQ54" s="149"/>
      <c r="CR54" s="149"/>
    </row>
    <row r="55" spans="1:96">
      <c r="A55" s="149"/>
      <c r="B55" s="149"/>
      <c r="C55" s="182"/>
      <c r="D55" s="8">
        <v>10</v>
      </c>
      <c r="E55" s="173" t="s">
        <v>337</v>
      </c>
      <c r="F55" s="189" t="s">
        <v>338</v>
      </c>
      <c r="G55" s="142">
        <v>98.872065780726686</v>
      </c>
      <c r="H55" s="142">
        <v>6.0181423655913981</v>
      </c>
      <c r="I55" s="142">
        <v>98.886289077339427</v>
      </c>
      <c r="J55" s="142">
        <v>6.0287721505376357</v>
      </c>
      <c r="K55" s="77">
        <v>6139</v>
      </c>
      <c r="L55" s="9">
        <v>1</v>
      </c>
      <c r="M55" s="24">
        <v>98.039199999999994</v>
      </c>
      <c r="N55" s="24">
        <v>97.561000000000007</v>
      </c>
      <c r="O55" s="201">
        <f t="shared" ca="1" si="11"/>
        <v>68</v>
      </c>
      <c r="P55" s="207">
        <v>46307</v>
      </c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  <c r="BI55" s="149"/>
      <c r="BJ55" s="149"/>
      <c r="BK55" s="149"/>
      <c r="BL55" s="149"/>
      <c r="BM55" s="149"/>
      <c r="BN55" s="149"/>
      <c r="BO55" s="149"/>
      <c r="BP55" s="149"/>
      <c r="BQ55" s="149"/>
      <c r="BR55" s="149"/>
      <c r="BS55" s="149"/>
      <c r="BT55" s="149"/>
      <c r="BU55" s="149"/>
      <c r="BV55" s="149"/>
      <c r="BW55" s="149"/>
      <c r="BX55" s="149"/>
      <c r="BY55" s="149"/>
      <c r="BZ55" s="149"/>
      <c r="CA55" s="149"/>
      <c r="CB55" s="149"/>
      <c r="CC55" s="149"/>
      <c r="CD55" s="149"/>
      <c r="CE55" s="149"/>
      <c r="CF55" s="149"/>
      <c r="CG55" s="149"/>
      <c r="CH55" s="149"/>
      <c r="CI55" s="149"/>
      <c r="CJ55" s="149"/>
      <c r="CK55" s="149"/>
      <c r="CL55" s="149"/>
      <c r="CM55" s="149"/>
      <c r="CN55" s="149"/>
      <c r="CO55" s="149"/>
      <c r="CP55" s="149"/>
      <c r="CQ55" s="149"/>
      <c r="CR55" s="149"/>
    </row>
    <row r="56" spans="1:96">
      <c r="A56" s="149"/>
      <c r="B56" s="149"/>
      <c r="C56" s="182"/>
      <c r="D56" s="8">
        <v>11</v>
      </c>
      <c r="E56" s="173" t="s">
        <v>339</v>
      </c>
      <c r="F56" s="189" t="s">
        <v>340</v>
      </c>
      <c r="G56" s="142">
        <v>98.776052574497626</v>
      </c>
      <c r="H56" s="142">
        <v>5.9347016129032255</v>
      </c>
      <c r="I56" s="142">
        <v>98.790052071659488</v>
      </c>
      <c r="J56" s="142">
        <v>5.9442023655913987</v>
      </c>
      <c r="K56" s="77">
        <v>1059706</v>
      </c>
      <c r="L56" s="9">
        <v>10</v>
      </c>
      <c r="M56" s="24">
        <v>98.994799999999998</v>
      </c>
      <c r="N56" s="24">
        <v>97.86</v>
      </c>
      <c r="O56" s="201">
        <f t="shared" ca="1" si="11"/>
        <v>75</v>
      </c>
      <c r="P56" s="206">
        <v>46314</v>
      </c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  <c r="BI56" s="149"/>
      <c r="BJ56" s="149"/>
      <c r="BK56" s="149"/>
      <c r="BL56" s="149"/>
      <c r="BM56" s="149"/>
      <c r="BN56" s="149"/>
      <c r="BO56" s="149"/>
      <c r="BP56" s="149"/>
      <c r="BQ56" s="149"/>
      <c r="BR56" s="149"/>
      <c r="BS56" s="149"/>
      <c r="BT56" s="149"/>
      <c r="BU56" s="149"/>
      <c r="BV56" s="149"/>
      <c r="BW56" s="149"/>
      <c r="BX56" s="149"/>
      <c r="BY56" s="149"/>
      <c r="BZ56" s="149"/>
      <c r="CA56" s="149"/>
      <c r="CB56" s="149"/>
      <c r="CC56" s="149"/>
      <c r="CD56" s="149"/>
      <c r="CE56" s="149"/>
      <c r="CF56" s="149"/>
      <c r="CG56" s="149"/>
      <c r="CH56" s="149"/>
      <c r="CI56" s="149"/>
      <c r="CJ56" s="149"/>
      <c r="CK56" s="149"/>
      <c r="CL56" s="149"/>
      <c r="CM56" s="149"/>
      <c r="CN56" s="149"/>
      <c r="CO56" s="149"/>
      <c r="CP56" s="149"/>
      <c r="CQ56" s="149"/>
      <c r="CR56" s="149"/>
    </row>
    <row r="57" spans="1:96">
      <c r="A57" s="149"/>
      <c r="B57" s="149"/>
      <c r="C57" s="182"/>
      <c r="D57" s="8">
        <v>12</v>
      </c>
      <c r="E57" s="173" t="s">
        <v>341</v>
      </c>
      <c r="F57" s="189" t="s">
        <v>342</v>
      </c>
      <c r="G57" s="143">
        <v>98.68335086909066</v>
      </c>
      <c r="H57" s="143">
        <v>5.8512608602150546</v>
      </c>
      <c r="I57" s="143">
        <v>98.697170581829113</v>
      </c>
      <c r="J57" s="143">
        <v>5.8596325806451617</v>
      </c>
      <c r="K57" s="78">
        <v>1028</v>
      </c>
      <c r="L57" s="79">
        <v>1</v>
      </c>
      <c r="M57" s="54">
        <v>96.963200000000001</v>
      </c>
      <c r="N57" s="54">
        <v>96.963200000000001</v>
      </c>
      <c r="O57" s="201">
        <f t="shared" ca="1" si="11"/>
        <v>82</v>
      </c>
      <c r="P57" s="206">
        <v>46321</v>
      </c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49"/>
      <c r="BL57" s="149"/>
      <c r="BM57" s="149"/>
      <c r="BN57" s="149"/>
      <c r="BO57" s="149"/>
      <c r="BP57" s="149"/>
      <c r="BQ57" s="149"/>
      <c r="BR57" s="149"/>
      <c r="BS57" s="149"/>
      <c r="BT57" s="149"/>
      <c r="BU57" s="149"/>
      <c r="BV57" s="149"/>
      <c r="BW57" s="149"/>
      <c r="BX57" s="149"/>
      <c r="BY57" s="149"/>
      <c r="BZ57" s="149"/>
      <c r="CA57" s="149"/>
      <c r="CB57" s="149"/>
      <c r="CC57" s="149"/>
      <c r="CD57" s="149"/>
      <c r="CE57" s="149"/>
      <c r="CF57" s="149"/>
      <c r="CG57" s="149"/>
      <c r="CH57" s="149"/>
      <c r="CI57" s="149"/>
      <c r="CJ57" s="149"/>
      <c r="CK57" s="149"/>
      <c r="CL57" s="149"/>
      <c r="CM57" s="149"/>
      <c r="CN57" s="149"/>
      <c r="CO57" s="149"/>
      <c r="CP57" s="149"/>
      <c r="CQ57" s="149"/>
      <c r="CR57" s="149"/>
    </row>
    <row r="58" spans="1:96" s="63" customFormat="1">
      <c r="A58" s="208"/>
      <c r="B58" s="208"/>
      <c r="C58" s="182"/>
      <c r="D58" s="8">
        <v>13</v>
      </c>
      <c r="E58" s="173" t="s">
        <v>343</v>
      </c>
      <c r="F58" s="189" t="s">
        <v>344</v>
      </c>
      <c r="G58" s="143">
        <v>98.593942549761067</v>
      </c>
      <c r="H58" s="143">
        <v>5.767820107526882</v>
      </c>
      <c r="I58" s="143">
        <v>98.607626214733088</v>
      </c>
      <c r="J58" s="143">
        <v>5.7750627956989256</v>
      </c>
      <c r="K58" s="78"/>
      <c r="L58" s="79"/>
      <c r="M58" s="54">
        <v>96.901300000000006</v>
      </c>
      <c r="N58" s="54">
        <v>96.901300000000006</v>
      </c>
      <c r="O58" s="201">
        <f t="shared" ca="1" si="11"/>
        <v>89</v>
      </c>
      <c r="P58" s="207">
        <v>46328</v>
      </c>
      <c r="Q58" s="208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  <c r="BI58" s="149"/>
      <c r="BJ58" s="149"/>
      <c r="BK58" s="149"/>
      <c r="BL58" s="149"/>
      <c r="BM58" s="149"/>
      <c r="BN58" s="149"/>
      <c r="BO58" s="149"/>
      <c r="BP58" s="149"/>
      <c r="BQ58" s="149"/>
      <c r="BR58" s="149"/>
      <c r="BS58" s="149"/>
      <c r="BT58" s="149"/>
      <c r="BU58" s="149"/>
      <c r="BV58" s="149"/>
      <c r="BW58" s="149"/>
      <c r="BX58" s="149"/>
      <c r="BY58" s="149"/>
      <c r="BZ58" s="149"/>
      <c r="CA58" s="149"/>
      <c r="CB58" s="149"/>
      <c r="CC58" s="149"/>
      <c r="CD58" s="149"/>
      <c r="CE58" s="149"/>
      <c r="CF58" s="149"/>
      <c r="CG58" s="149"/>
      <c r="CH58" s="149"/>
      <c r="CI58" s="149"/>
      <c r="CJ58" s="149"/>
      <c r="CK58" s="149"/>
      <c r="CL58" s="149"/>
      <c r="CM58" s="149"/>
      <c r="CN58" s="149"/>
      <c r="CO58" s="149"/>
      <c r="CP58" s="149"/>
      <c r="CQ58" s="149"/>
      <c r="CR58" s="149"/>
    </row>
    <row r="59" spans="1:96">
      <c r="A59" s="149"/>
      <c r="B59" s="149"/>
      <c r="C59" s="182"/>
      <c r="D59" s="8">
        <v>14</v>
      </c>
      <c r="E59" s="173" t="s">
        <v>345</v>
      </c>
      <c r="F59" s="209" t="s">
        <v>346</v>
      </c>
      <c r="G59" s="142">
        <v>98.45669934051115</v>
      </c>
      <c r="H59" s="142">
        <v>5.882134065934066</v>
      </c>
      <c r="I59" s="142">
        <v>98.479447879609864</v>
      </c>
      <c r="J59" s="142">
        <v>5.8544467032967038</v>
      </c>
      <c r="K59" s="77">
        <v>323744</v>
      </c>
      <c r="L59" s="9">
        <v>4</v>
      </c>
      <c r="M59" s="24">
        <v>98.581400000000002</v>
      </c>
      <c r="N59" s="24">
        <v>98.581400000000002</v>
      </c>
      <c r="O59" s="201">
        <f t="shared" ca="1" si="11"/>
        <v>96</v>
      </c>
      <c r="P59" s="206">
        <v>46335</v>
      </c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  <c r="BI59" s="149"/>
      <c r="BJ59" s="149"/>
      <c r="BK59" s="149"/>
      <c r="BL59" s="149"/>
      <c r="BM59" s="149"/>
      <c r="BN59" s="149"/>
      <c r="BO59" s="149"/>
      <c r="BP59" s="149"/>
      <c r="BQ59" s="149"/>
      <c r="BR59" s="149"/>
      <c r="BS59" s="149"/>
      <c r="BT59" s="149"/>
      <c r="BU59" s="149"/>
      <c r="BV59" s="149"/>
      <c r="BW59" s="149"/>
      <c r="BX59" s="149"/>
      <c r="BY59" s="149"/>
      <c r="BZ59" s="149"/>
      <c r="CA59" s="149"/>
      <c r="CB59" s="149"/>
      <c r="CC59" s="149"/>
      <c r="CD59" s="149"/>
      <c r="CE59" s="149"/>
      <c r="CF59" s="149"/>
      <c r="CG59" s="149"/>
      <c r="CH59" s="149"/>
      <c r="CI59" s="149"/>
      <c r="CJ59" s="149"/>
      <c r="CK59" s="149"/>
      <c r="CL59" s="149"/>
      <c r="CM59" s="149"/>
      <c r="CN59" s="149"/>
      <c r="CO59" s="149"/>
      <c r="CP59" s="149"/>
      <c r="CQ59" s="149"/>
      <c r="CR59" s="149"/>
    </row>
    <row r="60" spans="1:96">
      <c r="A60" s="149"/>
      <c r="B60" s="149"/>
      <c r="C60" s="182"/>
      <c r="D60" s="8">
        <v>15</v>
      </c>
      <c r="E60" s="173" t="s">
        <v>347</v>
      </c>
      <c r="F60" s="189" t="s">
        <v>348</v>
      </c>
      <c r="G60" s="142">
        <v>98.306486199765558</v>
      </c>
      <c r="H60" s="142">
        <v>6.0294071428571421</v>
      </c>
      <c r="I60" s="142">
        <v>98.330702750291806</v>
      </c>
      <c r="J60" s="142">
        <v>5.9994120879120878</v>
      </c>
      <c r="K60" s="77"/>
      <c r="L60" s="9"/>
      <c r="M60" s="24">
        <v>96.224999999999994</v>
      </c>
      <c r="N60" s="24">
        <v>96.224999999999994</v>
      </c>
      <c r="O60" s="201">
        <f t="shared" ca="1" si="11"/>
        <v>103</v>
      </c>
      <c r="P60" s="206">
        <v>46342</v>
      </c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  <c r="BI60" s="149"/>
      <c r="BJ60" s="149"/>
      <c r="BK60" s="149"/>
      <c r="BL60" s="149"/>
      <c r="BM60" s="149"/>
      <c r="BN60" s="149"/>
      <c r="BO60" s="149"/>
      <c r="BP60" s="149"/>
      <c r="BQ60" s="149"/>
      <c r="BR60" s="149"/>
      <c r="BS60" s="149"/>
      <c r="BT60" s="149"/>
      <c r="BU60" s="149"/>
      <c r="BV60" s="149"/>
      <c r="BW60" s="149"/>
      <c r="BX60" s="149"/>
      <c r="BY60" s="149"/>
      <c r="BZ60" s="149"/>
      <c r="CA60" s="149"/>
      <c r="CB60" s="149"/>
      <c r="CC60" s="149"/>
      <c r="CD60" s="149"/>
      <c r="CE60" s="149"/>
      <c r="CF60" s="149"/>
      <c r="CG60" s="149"/>
      <c r="CH60" s="149"/>
      <c r="CI60" s="149"/>
      <c r="CJ60" s="149"/>
      <c r="CK60" s="149"/>
      <c r="CL60" s="149"/>
      <c r="CM60" s="149"/>
      <c r="CN60" s="149"/>
      <c r="CO60" s="149"/>
      <c r="CP60" s="149"/>
      <c r="CQ60" s="149"/>
      <c r="CR60" s="149"/>
    </row>
    <row r="61" spans="1:96">
      <c r="A61" s="149"/>
      <c r="B61" s="149"/>
      <c r="C61" s="182"/>
      <c r="D61" s="8">
        <v>16</v>
      </c>
      <c r="E61" s="173" t="s">
        <v>349</v>
      </c>
      <c r="F61" s="189" t="s">
        <v>350</v>
      </c>
      <c r="G61" s="143">
        <v>98.151273562485713</v>
      </c>
      <c r="H61" s="143">
        <v>6.17668021978022</v>
      </c>
      <c r="I61" s="143">
        <v>98.177031821678014</v>
      </c>
      <c r="J61" s="143">
        <v>6.1443774725274727</v>
      </c>
      <c r="K61" s="78"/>
      <c r="L61" s="79"/>
      <c r="M61" s="54">
        <v>100</v>
      </c>
      <c r="N61" s="54">
        <v>96.013400000000004</v>
      </c>
      <c r="O61" s="201">
        <f t="shared" ca="1" si="11"/>
        <v>110</v>
      </c>
      <c r="P61" s="207">
        <v>46349</v>
      </c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  <c r="AC61" s="149"/>
      <c r="AD61" s="149"/>
      <c r="AE61" s="149"/>
      <c r="AF61" s="149"/>
      <c r="AG61" s="149"/>
      <c r="AH61" s="149"/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  <c r="BI61" s="149"/>
      <c r="BJ61" s="149"/>
      <c r="BK61" s="149"/>
      <c r="BL61" s="149"/>
      <c r="BM61" s="149"/>
      <c r="BN61" s="149"/>
      <c r="BO61" s="149"/>
      <c r="BP61" s="149"/>
      <c r="BQ61" s="149"/>
      <c r="BR61" s="149"/>
      <c r="BS61" s="149"/>
      <c r="BT61" s="149"/>
      <c r="BU61" s="149"/>
      <c r="BV61" s="149"/>
      <c r="BW61" s="149"/>
      <c r="BX61" s="149"/>
      <c r="BY61" s="149"/>
      <c r="BZ61" s="149"/>
      <c r="CA61" s="149"/>
      <c r="CB61" s="149"/>
      <c r="CC61" s="149"/>
      <c r="CD61" s="149"/>
      <c r="CE61" s="149"/>
      <c r="CF61" s="149"/>
      <c r="CG61" s="149"/>
      <c r="CH61" s="149"/>
      <c r="CI61" s="149"/>
      <c r="CJ61" s="149"/>
      <c r="CK61" s="149"/>
      <c r="CL61" s="149"/>
      <c r="CM61" s="149"/>
      <c r="CN61" s="149"/>
      <c r="CO61" s="149"/>
      <c r="CP61" s="149"/>
      <c r="CQ61" s="149"/>
      <c r="CR61" s="149"/>
    </row>
    <row r="62" spans="1:96">
      <c r="A62" s="149"/>
      <c r="B62" s="149"/>
      <c r="C62" s="182"/>
      <c r="D62" s="8">
        <v>17</v>
      </c>
      <c r="E62" s="173" t="s">
        <v>351</v>
      </c>
      <c r="F62" s="189" t="s">
        <v>352</v>
      </c>
      <c r="G62" s="142">
        <v>97.991110916120249</v>
      </c>
      <c r="H62" s="142">
        <v>6.3239532967032961</v>
      </c>
      <c r="I62" s="142">
        <v>98.018483345404434</v>
      </c>
      <c r="J62" s="142">
        <v>6.2893428571428576</v>
      </c>
      <c r="K62" s="77">
        <v>1027554</v>
      </c>
      <c r="L62" s="9">
        <v>1</v>
      </c>
      <c r="M62" s="24">
        <v>97.219300000000004</v>
      </c>
      <c r="N62" s="24">
        <v>97.185900000000004</v>
      </c>
      <c r="O62" s="201">
        <f t="shared" ca="1" si="11"/>
        <v>117</v>
      </c>
      <c r="P62" s="206">
        <v>46356</v>
      </c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49"/>
      <c r="AG62" s="149"/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  <c r="BI62" s="149"/>
      <c r="BJ62" s="149"/>
      <c r="BK62" s="149"/>
      <c r="BL62" s="149"/>
      <c r="BM62" s="149"/>
      <c r="BN62" s="149"/>
      <c r="BO62" s="149"/>
      <c r="BP62" s="149"/>
      <c r="BQ62" s="149"/>
      <c r="BR62" s="149"/>
      <c r="BS62" s="149"/>
      <c r="BT62" s="149"/>
      <c r="BU62" s="149"/>
      <c r="BV62" s="149"/>
      <c r="BW62" s="149"/>
      <c r="BX62" s="149"/>
      <c r="BY62" s="149"/>
      <c r="BZ62" s="149"/>
      <c r="CA62" s="149"/>
      <c r="CB62" s="149"/>
      <c r="CC62" s="149"/>
      <c r="CD62" s="149"/>
      <c r="CE62" s="149"/>
      <c r="CF62" s="149"/>
      <c r="CG62" s="149"/>
      <c r="CH62" s="149"/>
      <c r="CI62" s="149"/>
      <c r="CJ62" s="149"/>
      <c r="CK62" s="149"/>
      <c r="CL62" s="149"/>
      <c r="CM62" s="149"/>
      <c r="CN62" s="149"/>
      <c r="CO62" s="149"/>
      <c r="CP62" s="149"/>
      <c r="CQ62" s="149"/>
      <c r="CR62" s="149"/>
    </row>
    <row r="63" spans="1:96">
      <c r="A63" s="149"/>
      <c r="B63" s="149"/>
      <c r="C63" s="182"/>
      <c r="D63" s="8">
        <v>18</v>
      </c>
      <c r="E63" s="173" t="s">
        <v>353</v>
      </c>
      <c r="F63" s="189" t="s">
        <v>354</v>
      </c>
      <c r="G63" s="142">
        <v>97.826049076875194</v>
      </c>
      <c r="H63" s="142">
        <v>6.4712263736263731</v>
      </c>
      <c r="I63" s="142">
        <v>97.855106863915239</v>
      </c>
      <c r="J63" s="142">
        <v>6.4343082417582416</v>
      </c>
      <c r="K63" s="77">
        <v>816192</v>
      </c>
      <c r="L63" s="9">
        <v>2</v>
      </c>
      <c r="M63" s="24">
        <v>97.542699999999996</v>
      </c>
      <c r="N63" s="24">
        <v>97.371700000000004</v>
      </c>
      <c r="O63" s="201">
        <f t="shared" ca="1" si="11"/>
        <v>124</v>
      </c>
      <c r="P63" s="206">
        <v>46363</v>
      </c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49"/>
      <c r="AG63" s="149"/>
      <c r="AH63" s="149"/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  <c r="BI63" s="149"/>
      <c r="BJ63" s="149"/>
      <c r="BK63" s="149"/>
      <c r="BL63" s="149"/>
      <c r="BM63" s="149"/>
      <c r="BN63" s="149"/>
      <c r="BO63" s="149"/>
      <c r="BP63" s="149"/>
      <c r="BQ63" s="149"/>
      <c r="BR63" s="149"/>
      <c r="BS63" s="149"/>
      <c r="BT63" s="149"/>
      <c r="BU63" s="149"/>
      <c r="BV63" s="149"/>
      <c r="BW63" s="149"/>
      <c r="BX63" s="149"/>
      <c r="BY63" s="149"/>
      <c r="BZ63" s="149"/>
      <c r="CA63" s="149"/>
      <c r="CB63" s="149"/>
      <c r="CC63" s="149"/>
      <c r="CD63" s="149"/>
      <c r="CE63" s="149"/>
      <c r="CF63" s="149"/>
      <c r="CG63" s="149"/>
      <c r="CH63" s="149"/>
      <c r="CI63" s="149"/>
      <c r="CJ63" s="149"/>
      <c r="CK63" s="149"/>
      <c r="CL63" s="149"/>
      <c r="CM63" s="149"/>
      <c r="CN63" s="149"/>
      <c r="CO63" s="149"/>
      <c r="CP63" s="149"/>
      <c r="CQ63" s="149"/>
      <c r="CR63" s="149"/>
    </row>
    <row r="64" spans="1:96">
      <c r="A64" s="149"/>
      <c r="B64" s="149"/>
      <c r="C64" s="182"/>
      <c r="D64" s="8">
        <v>19</v>
      </c>
      <c r="E64" s="173" t="s">
        <v>355</v>
      </c>
      <c r="F64" s="189" t="s">
        <v>356</v>
      </c>
      <c r="G64" s="142">
        <v>97.656140150800212</v>
      </c>
      <c r="H64" s="142">
        <v>6.6184994505494501</v>
      </c>
      <c r="I64" s="142">
        <v>97.686953173091212</v>
      </c>
      <c r="J64" s="142">
        <v>6.5792736263736264</v>
      </c>
      <c r="K64" s="77"/>
      <c r="L64" s="9"/>
      <c r="M64" s="24">
        <v>95.398799999999994</v>
      </c>
      <c r="N64" s="24">
        <v>95.398799999999994</v>
      </c>
      <c r="O64" s="201">
        <f t="shared" ca="1" si="11"/>
        <v>131</v>
      </c>
      <c r="P64" s="207">
        <v>46370</v>
      </c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  <c r="BI64" s="149"/>
      <c r="BJ64" s="149"/>
      <c r="BK64" s="149"/>
      <c r="BL64" s="149"/>
      <c r="BM64" s="149"/>
      <c r="BN64" s="149"/>
      <c r="BO64" s="149"/>
      <c r="BP64" s="149"/>
      <c r="BQ64" s="149"/>
      <c r="BR64" s="149"/>
      <c r="BS64" s="149"/>
      <c r="BT64" s="149"/>
      <c r="BU64" s="149"/>
      <c r="BV64" s="149"/>
      <c r="BW64" s="149"/>
      <c r="BX64" s="149"/>
      <c r="BY64" s="149"/>
      <c r="BZ64" s="149"/>
      <c r="CA64" s="149"/>
      <c r="CB64" s="149"/>
      <c r="CC64" s="149"/>
      <c r="CD64" s="149"/>
      <c r="CE64" s="149"/>
      <c r="CF64" s="149"/>
      <c r="CG64" s="149"/>
      <c r="CH64" s="149"/>
      <c r="CI64" s="149"/>
      <c r="CJ64" s="149"/>
      <c r="CK64" s="149"/>
      <c r="CL64" s="149"/>
      <c r="CM64" s="149"/>
      <c r="CN64" s="149"/>
      <c r="CO64" s="149"/>
      <c r="CP64" s="149"/>
      <c r="CQ64" s="149"/>
      <c r="CR64" s="149"/>
    </row>
    <row r="65" spans="1:96">
      <c r="A65" s="149"/>
      <c r="B65" s="149"/>
      <c r="C65" s="182"/>
      <c r="D65" s="8">
        <v>20</v>
      </c>
      <c r="E65" s="173" t="s">
        <v>357</v>
      </c>
      <c r="F65" s="189" t="s">
        <v>358</v>
      </c>
      <c r="G65" s="142">
        <v>97.481437494192136</v>
      </c>
      <c r="H65" s="142">
        <v>6.7657725274725271</v>
      </c>
      <c r="I65" s="142">
        <v>97.514074284222573</v>
      </c>
      <c r="J65" s="142">
        <v>6.7242390109890113</v>
      </c>
      <c r="K65" s="77"/>
      <c r="L65" s="9"/>
      <c r="M65" s="24">
        <v>100</v>
      </c>
      <c r="N65" s="24">
        <v>100</v>
      </c>
      <c r="O65" s="201">
        <f t="shared" ca="1" si="11"/>
        <v>138</v>
      </c>
      <c r="P65" s="206">
        <v>46377</v>
      </c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  <c r="BI65" s="149"/>
      <c r="BJ65" s="149"/>
      <c r="BK65" s="149"/>
      <c r="BL65" s="149"/>
      <c r="BM65" s="149"/>
      <c r="BN65" s="149"/>
      <c r="BO65" s="149"/>
      <c r="BP65" s="149"/>
      <c r="BQ65" s="149"/>
      <c r="BR65" s="149"/>
      <c r="BS65" s="149"/>
      <c r="BT65" s="149"/>
      <c r="BU65" s="149"/>
      <c r="BV65" s="149"/>
      <c r="BW65" s="149"/>
      <c r="BX65" s="149"/>
      <c r="BY65" s="149"/>
      <c r="BZ65" s="149"/>
      <c r="CA65" s="149"/>
      <c r="CB65" s="149"/>
      <c r="CC65" s="149"/>
      <c r="CD65" s="149"/>
      <c r="CE65" s="149"/>
      <c r="CF65" s="149"/>
      <c r="CG65" s="149"/>
      <c r="CH65" s="149"/>
      <c r="CI65" s="149"/>
      <c r="CJ65" s="149"/>
      <c r="CK65" s="149"/>
      <c r="CL65" s="149"/>
      <c r="CM65" s="149"/>
      <c r="CN65" s="149"/>
      <c r="CO65" s="149"/>
      <c r="CP65" s="149"/>
      <c r="CQ65" s="149"/>
      <c r="CR65" s="149"/>
    </row>
    <row r="66" spans="1:96">
      <c r="A66" s="149"/>
      <c r="B66" s="149"/>
      <c r="C66" s="149"/>
      <c r="D66" s="8">
        <v>21</v>
      </c>
      <c r="E66" s="173" t="s">
        <v>359</v>
      </c>
      <c r="F66" s="189" t="s">
        <v>360</v>
      </c>
      <c r="G66" s="142">
        <v>97.301995673369476</v>
      </c>
      <c r="H66" s="142">
        <v>6.9130456043956041</v>
      </c>
      <c r="I66" s="142">
        <v>97.336523385376566</v>
      </c>
      <c r="J66" s="142">
        <v>6.8692043956043953</v>
      </c>
      <c r="K66" s="77">
        <v>24759955</v>
      </c>
      <c r="L66" s="9">
        <v>26</v>
      </c>
      <c r="M66" s="24">
        <v>95.773099999999999</v>
      </c>
      <c r="N66" s="24">
        <v>95.773099999999999</v>
      </c>
      <c r="O66" s="201">
        <f t="shared" ca="1" si="11"/>
        <v>145</v>
      </c>
      <c r="P66" s="206">
        <v>46384</v>
      </c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  <c r="BN66" s="149"/>
      <c r="BO66" s="149"/>
      <c r="BP66" s="149"/>
      <c r="BQ66" s="149"/>
      <c r="BR66" s="149"/>
      <c r="BS66" s="149"/>
      <c r="BT66" s="149"/>
      <c r="BU66" s="149"/>
      <c r="BV66" s="149"/>
      <c r="BW66" s="149"/>
      <c r="BX66" s="149"/>
      <c r="BY66" s="149"/>
      <c r="BZ66" s="149"/>
      <c r="CA66" s="149"/>
      <c r="CB66" s="149"/>
      <c r="CC66" s="149"/>
      <c r="CD66" s="149"/>
      <c r="CE66" s="149"/>
      <c r="CF66" s="149"/>
      <c r="CG66" s="149"/>
      <c r="CH66" s="149"/>
      <c r="CI66" s="149"/>
      <c r="CJ66" s="149"/>
      <c r="CK66" s="149"/>
      <c r="CL66" s="149"/>
      <c r="CM66" s="149"/>
      <c r="CN66" s="149"/>
      <c r="CO66" s="149"/>
      <c r="CP66" s="149"/>
      <c r="CQ66" s="149"/>
      <c r="CR66" s="149"/>
    </row>
    <row r="67" spans="1:96">
      <c r="A67" s="149"/>
      <c r="B67" s="149"/>
      <c r="C67" s="149"/>
      <c r="D67" s="8">
        <v>22</v>
      </c>
      <c r="E67" s="173" t="s">
        <v>361</v>
      </c>
      <c r="F67" s="189" t="s">
        <v>362</v>
      </c>
      <c r="G67" s="142">
        <v>97.117870423871892</v>
      </c>
      <c r="H67" s="142">
        <v>7.0603186813186802</v>
      </c>
      <c r="I67" s="142">
        <v>97.154354802211429</v>
      </c>
      <c r="J67" s="142">
        <v>7.0141697802197802</v>
      </c>
      <c r="K67" s="77">
        <v>26748</v>
      </c>
      <c r="L67" s="9">
        <v>2</v>
      </c>
      <c r="M67" s="67">
        <v>96.932299999999998</v>
      </c>
      <c r="N67" s="67">
        <v>96.932299999999998</v>
      </c>
      <c r="O67" s="201">
        <f t="shared" ca="1" si="11"/>
        <v>152</v>
      </c>
      <c r="P67" s="207">
        <v>46391</v>
      </c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  <c r="BI67" s="149"/>
      <c r="BJ67" s="149"/>
      <c r="BK67" s="149"/>
      <c r="BL67" s="149"/>
      <c r="BM67" s="149"/>
      <c r="BN67" s="149"/>
      <c r="BO67" s="149"/>
      <c r="BP67" s="149"/>
      <c r="BQ67" s="149"/>
      <c r="BR67" s="149"/>
      <c r="BS67" s="149"/>
      <c r="BT67" s="149"/>
      <c r="BU67" s="149"/>
      <c r="BV67" s="149"/>
      <c r="BW67" s="149"/>
      <c r="BX67" s="149"/>
      <c r="BY67" s="149"/>
      <c r="BZ67" s="149"/>
      <c r="CA67" s="149"/>
      <c r="CB67" s="149"/>
      <c r="CC67" s="149"/>
      <c r="CD67" s="149"/>
      <c r="CE67" s="149"/>
      <c r="CF67" s="149"/>
      <c r="CG67" s="149"/>
      <c r="CH67" s="149"/>
      <c r="CI67" s="149"/>
      <c r="CJ67" s="149"/>
      <c r="CK67" s="149"/>
      <c r="CL67" s="149"/>
      <c r="CM67" s="149"/>
      <c r="CN67" s="149"/>
      <c r="CO67" s="149"/>
      <c r="CP67" s="149"/>
      <c r="CQ67" s="149"/>
      <c r="CR67" s="149"/>
    </row>
    <row r="68" spans="1:96">
      <c r="A68" s="149"/>
      <c r="B68" s="149"/>
      <c r="C68" s="149"/>
      <c r="D68" s="8">
        <v>23</v>
      </c>
      <c r="E68" s="173" t="s">
        <v>363</v>
      </c>
      <c r="F68" s="189" t="s">
        <v>364</v>
      </c>
      <c r="G68" s="142">
        <v>96.929118609139024</v>
      </c>
      <c r="H68" s="142">
        <v>7.2075917582417581</v>
      </c>
      <c r="I68" s="142">
        <v>96.967623958288002</v>
      </c>
      <c r="J68" s="142">
        <v>7.1591351648351651</v>
      </c>
      <c r="K68" s="77">
        <v>21097</v>
      </c>
      <c r="L68" s="9">
        <v>1</v>
      </c>
      <c r="M68" s="67">
        <v>94.508300000000006</v>
      </c>
      <c r="N68" s="67">
        <v>94.508300000000006</v>
      </c>
      <c r="O68" s="201">
        <f t="shared" ca="1" si="11"/>
        <v>159</v>
      </c>
      <c r="P68" s="206">
        <v>46398</v>
      </c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  <c r="BN68" s="149"/>
      <c r="BO68" s="149"/>
      <c r="BP68" s="149"/>
      <c r="BQ68" s="149"/>
      <c r="BR68" s="149"/>
      <c r="BS68" s="149"/>
      <c r="BT68" s="149"/>
      <c r="BU68" s="149"/>
      <c r="BV68" s="149"/>
      <c r="BW68" s="149"/>
      <c r="BX68" s="149"/>
      <c r="BY68" s="149"/>
      <c r="BZ68" s="149"/>
      <c r="CA68" s="149"/>
      <c r="CB68" s="149"/>
      <c r="CC68" s="149"/>
      <c r="CD68" s="149"/>
      <c r="CE68" s="149"/>
      <c r="CF68" s="149"/>
      <c r="CG68" s="149"/>
      <c r="CH68" s="149"/>
      <c r="CI68" s="149"/>
      <c r="CJ68" s="149"/>
      <c r="CK68" s="149"/>
      <c r="CL68" s="149"/>
      <c r="CM68" s="149"/>
      <c r="CN68" s="149"/>
      <c r="CO68" s="149"/>
      <c r="CP68" s="149"/>
      <c r="CQ68" s="149"/>
      <c r="CR68" s="149"/>
    </row>
    <row r="69" spans="1:96">
      <c r="A69" s="149"/>
      <c r="B69" s="149"/>
      <c r="C69" s="210"/>
      <c r="D69" s="8">
        <v>24</v>
      </c>
      <c r="E69" s="173" t="s">
        <v>365</v>
      </c>
      <c r="F69" s="189" t="s">
        <v>366</v>
      </c>
      <c r="G69" s="142">
        <v>96.735798178722774</v>
      </c>
      <c r="H69" s="142">
        <v>7.3548648351648342</v>
      </c>
      <c r="I69" s="142">
        <v>96.776387334930064</v>
      </c>
      <c r="J69" s="142">
        <v>7.30410054945055</v>
      </c>
      <c r="K69" s="77">
        <v>625517</v>
      </c>
      <c r="L69" s="9">
        <v>6</v>
      </c>
      <c r="M69" s="67">
        <v>96.735699999999994</v>
      </c>
      <c r="N69" s="67">
        <v>96.691199999999995</v>
      </c>
      <c r="O69" s="201">
        <f t="shared" ca="1" si="11"/>
        <v>166</v>
      </c>
      <c r="P69" s="206">
        <v>46405</v>
      </c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  <c r="BN69" s="149"/>
      <c r="BO69" s="149"/>
      <c r="BP69" s="149"/>
      <c r="BQ69" s="149"/>
      <c r="BR69" s="149"/>
      <c r="BS69" s="149"/>
      <c r="BT69" s="149"/>
      <c r="BU69" s="149"/>
      <c r="BV69" s="149"/>
      <c r="BW69" s="149"/>
      <c r="BX69" s="149"/>
      <c r="BY69" s="149"/>
      <c r="BZ69" s="149"/>
      <c r="CA69" s="149"/>
      <c r="CB69" s="149"/>
      <c r="CC69" s="149"/>
      <c r="CD69" s="149"/>
      <c r="CE69" s="149"/>
      <c r="CF69" s="149"/>
      <c r="CG69" s="149"/>
      <c r="CH69" s="149"/>
      <c r="CI69" s="149"/>
      <c r="CJ69" s="149"/>
      <c r="CK69" s="149"/>
      <c r="CL69" s="149"/>
      <c r="CM69" s="149"/>
      <c r="CN69" s="149"/>
      <c r="CO69" s="149"/>
      <c r="CP69" s="149"/>
      <c r="CQ69" s="149"/>
      <c r="CR69" s="149"/>
    </row>
    <row r="70" spans="1:96">
      <c r="A70" s="149"/>
      <c r="B70" s="149"/>
      <c r="C70" s="149"/>
      <c r="D70" s="8">
        <v>25</v>
      </c>
      <c r="E70" s="173" t="s">
        <v>367</v>
      </c>
      <c r="F70" s="189" t="s">
        <v>368</v>
      </c>
      <c r="G70" s="142">
        <v>96.537968126087094</v>
      </c>
      <c r="H70" s="142">
        <v>7.5021379120879121</v>
      </c>
      <c r="I70" s="142">
        <v>96.580702430684852</v>
      </c>
      <c r="J70" s="142">
        <v>7.449065934065934</v>
      </c>
      <c r="K70" s="77">
        <v>208020</v>
      </c>
      <c r="L70" s="9">
        <v>3</v>
      </c>
      <c r="M70" s="67">
        <v>96.012900000000002</v>
      </c>
      <c r="N70" s="67">
        <v>95.649299999999997</v>
      </c>
      <c r="O70" s="201">
        <f t="shared" ca="1" si="11"/>
        <v>173</v>
      </c>
      <c r="P70" s="207">
        <v>46412</v>
      </c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149"/>
      <c r="BJ70" s="149"/>
      <c r="BK70" s="149"/>
      <c r="BL70" s="149"/>
      <c r="BM70" s="149"/>
      <c r="BN70" s="149"/>
      <c r="BO70" s="149"/>
      <c r="BP70" s="149"/>
      <c r="BQ70" s="149"/>
      <c r="BR70" s="149"/>
      <c r="BS70" s="149"/>
      <c r="BT70" s="149"/>
      <c r="BU70" s="149"/>
      <c r="BV70" s="149"/>
      <c r="BW70" s="149"/>
      <c r="BX70" s="149"/>
      <c r="BY70" s="149"/>
      <c r="BZ70" s="149"/>
      <c r="CA70" s="149"/>
      <c r="CB70" s="149"/>
      <c r="CC70" s="149"/>
      <c r="CD70" s="149"/>
      <c r="CE70" s="149"/>
      <c r="CF70" s="149"/>
      <c r="CG70" s="149"/>
      <c r="CH70" s="149"/>
      <c r="CI70" s="149"/>
      <c r="CJ70" s="149"/>
      <c r="CK70" s="149"/>
      <c r="CL70" s="149"/>
      <c r="CM70" s="149"/>
      <c r="CN70" s="149"/>
      <c r="CO70" s="149"/>
      <c r="CP70" s="149"/>
      <c r="CQ70" s="149"/>
      <c r="CR70" s="149"/>
    </row>
    <row r="71" spans="1:96">
      <c r="A71" s="149"/>
      <c r="B71" s="149"/>
      <c r="C71" s="149"/>
      <c r="D71" s="8">
        <v>26</v>
      </c>
      <c r="E71" s="173" t="s">
        <v>369</v>
      </c>
      <c r="F71" s="189" t="s">
        <v>370</v>
      </c>
      <c r="G71" s="142">
        <v>96.335688446049446</v>
      </c>
      <c r="H71" s="142">
        <v>7.6494109890109891</v>
      </c>
      <c r="I71" s="142">
        <v>96.380627720434987</v>
      </c>
      <c r="J71" s="142">
        <v>7.5940313186813189</v>
      </c>
      <c r="K71" s="77">
        <v>69224091</v>
      </c>
      <c r="L71" s="9">
        <v>78</v>
      </c>
      <c r="M71" s="67">
        <v>95.98</v>
      </c>
      <c r="N71" s="67">
        <v>95.463099999999997</v>
      </c>
      <c r="O71" s="201">
        <f t="shared" ca="1" si="11"/>
        <v>180</v>
      </c>
      <c r="P71" s="206">
        <v>46419</v>
      </c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  <c r="BI71" s="149"/>
      <c r="BJ71" s="149"/>
      <c r="BK71" s="149"/>
      <c r="BL71" s="149"/>
      <c r="BM71" s="149"/>
      <c r="BN71" s="149"/>
      <c r="BO71" s="149"/>
      <c r="BP71" s="149"/>
      <c r="BQ71" s="149"/>
      <c r="BR71" s="149"/>
      <c r="BS71" s="149"/>
      <c r="BT71" s="149"/>
      <c r="BU71" s="149"/>
      <c r="BV71" s="149"/>
      <c r="BW71" s="149"/>
      <c r="BX71" s="149"/>
      <c r="BY71" s="149"/>
      <c r="BZ71" s="149"/>
      <c r="CA71" s="149"/>
      <c r="CB71" s="149"/>
      <c r="CC71" s="149"/>
      <c r="CD71" s="149"/>
      <c r="CE71" s="149"/>
      <c r="CF71" s="149"/>
      <c r="CG71" s="149"/>
      <c r="CH71" s="149"/>
      <c r="CI71" s="149"/>
      <c r="CJ71" s="149"/>
      <c r="CK71" s="149"/>
      <c r="CL71" s="149"/>
      <c r="CM71" s="149"/>
      <c r="CN71" s="149"/>
      <c r="CO71" s="149"/>
      <c r="CP71" s="149"/>
      <c r="CQ71" s="149"/>
      <c r="CR71" s="149"/>
    </row>
    <row r="72" spans="1:96">
      <c r="A72" s="149"/>
      <c r="B72" s="149"/>
      <c r="C72" s="149"/>
      <c r="D72" s="8">
        <v>27</v>
      </c>
      <c r="E72" s="173" t="s">
        <v>371</v>
      </c>
      <c r="F72" s="189" t="s">
        <v>372</v>
      </c>
      <c r="G72" s="142">
        <v>96.109829599515535</v>
      </c>
      <c r="H72" s="142">
        <v>7.8369008491508492</v>
      </c>
      <c r="I72" s="142">
        <v>96.159921263997518</v>
      </c>
      <c r="J72" s="142">
        <v>7.7733067682317687</v>
      </c>
      <c r="K72" s="77"/>
      <c r="L72" s="9"/>
      <c r="M72" s="67">
        <v>94.915300000000002</v>
      </c>
      <c r="N72" s="67">
        <v>94.915300000000002</v>
      </c>
      <c r="O72" s="201">
        <f t="shared" ca="1" si="11"/>
        <v>187</v>
      </c>
      <c r="P72" s="206">
        <v>46426</v>
      </c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  <c r="BI72" s="149"/>
      <c r="BJ72" s="149"/>
      <c r="BK72" s="149"/>
      <c r="BL72" s="149"/>
      <c r="BM72" s="149"/>
      <c r="BN72" s="149"/>
      <c r="BO72" s="149"/>
      <c r="BP72" s="149"/>
      <c r="BQ72" s="149"/>
      <c r="BR72" s="149"/>
      <c r="BS72" s="149"/>
      <c r="BT72" s="149"/>
      <c r="BU72" s="149"/>
      <c r="BV72" s="149"/>
      <c r="BW72" s="149"/>
      <c r="BX72" s="149"/>
      <c r="BY72" s="149"/>
      <c r="BZ72" s="149"/>
      <c r="CA72" s="149"/>
      <c r="CB72" s="149"/>
      <c r="CC72" s="149"/>
      <c r="CD72" s="149"/>
      <c r="CE72" s="149"/>
      <c r="CF72" s="149"/>
      <c r="CG72" s="149"/>
      <c r="CH72" s="149"/>
      <c r="CI72" s="149"/>
      <c r="CJ72" s="149"/>
      <c r="CK72" s="149"/>
      <c r="CL72" s="149"/>
      <c r="CM72" s="149"/>
      <c r="CN72" s="149"/>
      <c r="CO72" s="149"/>
      <c r="CP72" s="149"/>
      <c r="CQ72" s="149"/>
      <c r="CR72" s="149"/>
    </row>
    <row r="73" spans="1:96">
      <c r="A73" s="149"/>
      <c r="B73" s="149"/>
      <c r="C73" s="149"/>
      <c r="D73" s="8">
        <v>28</v>
      </c>
      <c r="E73" s="173" t="s">
        <v>373</v>
      </c>
      <c r="F73" s="189" t="s">
        <v>374</v>
      </c>
      <c r="G73" s="142">
        <v>95.875097125231008</v>
      </c>
      <c r="H73" s="142">
        <v>8.0310935064935052</v>
      </c>
      <c r="I73" s="142">
        <v>95.927145770925179</v>
      </c>
      <c r="J73" s="142">
        <v>7.9663062437562449</v>
      </c>
      <c r="K73" s="77">
        <v>83434</v>
      </c>
      <c r="L73" s="9">
        <v>1</v>
      </c>
      <c r="M73" s="67">
        <v>100</v>
      </c>
      <c r="N73" s="67">
        <v>94.622799999999998</v>
      </c>
      <c r="O73" s="201">
        <f t="shared" ca="1" si="11"/>
        <v>194</v>
      </c>
      <c r="P73" s="207">
        <v>46433</v>
      </c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  <c r="BI73" s="149"/>
      <c r="BJ73" s="149"/>
      <c r="BK73" s="149"/>
      <c r="BL73" s="149"/>
      <c r="BM73" s="149"/>
      <c r="BN73" s="149"/>
      <c r="BO73" s="149"/>
      <c r="BP73" s="149"/>
      <c r="BQ73" s="149"/>
      <c r="BR73" s="149"/>
      <c r="BS73" s="149"/>
      <c r="BT73" s="149"/>
      <c r="BU73" s="149"/>
      <c r="BV73" s="149"/>
      <c r="BW73" s="149"/>
      <c r="BX73" s="149"/>
      <c r="BY73" s="149"/>
      <c r="BZ73" s="149"/>
      <c r="CA73" s="149"/>
      <c r="CB73" s="149"/>
      <c r="CC73" s="149"/>
      <c r="CD73" s="149"/>
      <c r="CE73" s="149"/>
      <c r="CF73" s="149"/>
      <c r="CG73" s="149"/>
      <c r="CH73" s="149"/>
      <c r="CI73" s="149"/>
      <c r="CJ73" s="149"/>
      <c r="CK73" s="149"/>
      <c r="CL73" s="149"/>
      <c r="CM73" s="149"/>
      <c r="CN73" s="149"/>
      <c r="CO73" s="149"/>
      <c r="CP73" s="149"/>
      <c r="CQ73" s="149"/>
      <c r="CR73" s="149"/>
    </row>
    <row r="74" spans="1:96">
      <c r="A74" s="149"/>
      <c r="B74" s="149"/>
      <c r="C74" s="149"/>
      <c r="D74" s="8">
        <v>29</v>
      </c>
      <c r="E74" s="173" t="s">
        <v>375</v>
      </c>
      <c r="F74" s="189" t="s">
        <v>376</v>
      </c>
      <c r="G74" s="142">
        <v>95.634676866709697</v>
      </c>
      <c r="H74" s="142">
        <v>8.225286163836163</v>
      </c>
      <c r="I74" s="142">
        <v>95.688697245183192</v>
      </c>
      <c r="J74" s="142">
        <v>8.1593057192807201</v>
      </c>
      <c r="K74" s="77">
        <v>58202565</v>
      </c>
      <c r="L74" s="9">
        <v>8</v>
      </c>
      <c r="M74" s="67">
        <v>95.3887</v>
      </c>
      <c r="N74" s="67">
        <v>95.381399999999999</v>
      </c>
      <c r="O74" s="201">
        <f t="shared" ca="1" si="11"/>
        <v>201</v>
      </c>
      <c r="P74" s="206">
        <v>46440</v>
      </c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49"/>
      <c r="AG74" s="149"/>
      <c r="AH74" s="149"/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  <c r="BI74" s="149"/>
      <c r="BJ74" s="149"/>
      <c r="BK74" s="149"/>
      <c r="BL74" s="149"/>
      <c r="BM74" s="149"/>
      <c r="BN74" s="149"/>
      <c r="BO74" s="149"/>
      <c r="BP74" s="149"/>
      <c r="BQ74" s="149"/>
      <c r="BR74" s="149"/>
      <c r="BS74" s="149"/>
      <c r="BT74" s="149"/>
      <c r="BU74" s="149"/>
      <c r="BV74" s="149"/>
      <c r="BW74" s="149"/>
      <c r="BX74" s="149"/>
      <c r="BY74" s="149"/>
      <c r="BZ74" s="149"/>
      <c r="CA74" s="149"/>
      <c r="CB74" s="149"/>
      <c r="CC74" s="149"/>
      <c r="CD74" s="149"/>
      <c r="CE74" s="149"/>
      <c r="CF74" s="149"/>
      <c r="CG74" s="149"/>
      <c r="CH74" s="149"/>
      <c r="CI74" s="149"/>
      <c r="CJ74" s="149"/>
      <c r="CK74" s="149"/>
      <c r="CL74" s="149"/>
      <c r="CM74" s="149"/>
      <c r="CN74" s="149"/>
      <c r="CO74" s="149"/>
      <c r="CP74" s="149"/>
      <c r="CQ74" s="149"/>
      <c r="CR74" s="149"/>
    </row>
    <row r="75" spans="1:96">
      <c r="A75" s="149"/>
      <c r="B75" s="149"/>
      <c r="C75" s="149"/>
      <c r="D75" s="8">
        <v>30</v>
      </c>
      <c r="E75" s="173" t="s">
        <v>377</v>
      </c>
      <c r="F75" s="189" t="s">
        <v>378</v>
      </c>
      <c r="G75" s="142">
        <v>95.388662889071512</v>
      </c>
      <c r="H75" s="142">
        <v>8.4194788211788207</v>
      </c>
      <c r="I75" s="142">
        <v>95.444668565289561</v>
      </c>
      <c r="J75" s="142">
        <v>8.3523051948051954</v>
      </c>
      <c r="K75" s="77">
        <v>187479417</v>
      </c>
      <c r="L75" s="9">
        <v>26</v>
      </c>
      <c r="M75" s="67">
        <v>95.590800000000002</v>
      </c>
      <c r="N75" s="67">
        <v>94.336500000000001</v>
      </c>
      <c r="O75" s="201">
        <f t="shared" ca="1" si="11"/>
        <v>208</v>
      </c>
      <c r="P75" s="206">
        <v>46447</v>
      </c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49"/>
      <c r="AG75" s="149"/>
      <c r="AH75" s="149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  <c r="BI75" s="149"/>
      <c r="BJ75" s="149"/>
      <c r="BK75" s="149"/>
      <c r="BL75" s="149"/>
      <c r="BM75" s="149"/>
      <c r="BN75" s="149"/>
      <c r="BO75" s="149"/>
      <c r="BP75" s="149"/>
      <c r="BQ75" s="149"/>
      <c r="BR75" s="149"/>
      <c r="BS75" s="149"/>
      <c r="BT75" s="149"/>
      <c r="BU75" s="149"/>
      <c r="BV75" s="149"/>
      <c r="BW75" s="149"/>
      <c r="BX75" s="149"/>
      <c r="BY75" s="149"/>
      <c r="BZ75" s="149"/>
      <c r="CA75" s="149"/>
      <c r="CB75" s="149"/>
      <c r="CC75" s="149"/>
      <c r="CD75" s="149"/>
      <c r="CE75" s="149"/>
      <c r="CF75" s="149"/>
      <c r="CG75" s="149"/>
      <c r="CH75" s="149"/>
      <c r="CI75" s="149"/>
      <c r="CJ75" s="149"/>
      <c r="CK75" s="149"/>
      <c r="CL75" s="149"/>
      <c r="CM75" s="149"/>
      <c r="CN75" s="149"/>
      <c r="CO75" s="149"/>
      <c r="CP75" s="149"/>
      <c r="CQ75" s="149"/>
      <c r="CR75" s="149"/>
    </row>
    <row r="76" spans="1:96">
      <c r="A76" s="149"/>
      <c r="B76" s="149"/>
      <c r="C76" s="149"/>
      <c r="D76" s="8">
        <v>31</v>
      </c>
      <c r="E76" s="173" t="s">
        <v>379</v>
      </c>
      <c r="F76" s="189" t="s">
        <v>380</v>
      </c>
      <c r="G76" s="142">
        <v>95.137150690303443</v>
      </c>
      <c r="H76" s="142">
        <v>8.6136714785214785</v>
      </c>
      <c r="I76" s="142">
        <v>95.195154043810064</v>
      </c>
      <c r="J76" s="142">
        <v>8.5453046703296707</v>
      </c>
      <c r="K76" s="77">
        <v>21520</v>
      </c>
      <c r="L76" s="9">
        <v>2</v>
      </c>
      <c r="M76" s="67">
        <v>94.795299999999997</v>
      </c>
      <c r="N76" s="67">
        <v>94.795299999999997</v>
      </c>
      <c r="O76" s="201">
        <f t="shared" ca="1" si="11"/>
        <v>215</v>
      </c>
      <c r="P76" s="207">
        <v>46454</v>
      </c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  <c r="BI76" s="149"/>
      <c r="BJ76" s="149"/>
      <c r="BK76" s="149"/>
      <c r="BL76" s="149"/>
      <c r="BM76" s="149"/>
      <c r="BN76" s="149"/>
      <c r="BO76" s="149"/>
      <c r="BP76" s="149"/>
      <c r="BQ76" s="149"/>
      <c r="BR76" s="149"/>
      <c r="BS76" s="149"/>
      <c r="BT76" s="149"/>
      <c r="BU76" s="149"/>
      <c r="BV76" s="149"/>
      <c r="BW76" s="149"/>
      <c r="BX76" s="149"/>
      <c r="BY76" s="149"/>
      <c r="BZ76" s="149"/>
      <c r="CA76" s="149"/>
      <c r="CB76" s="149"/>
      <c r="CC76" s="149"/>
      <c r="CD76" s="149"/>
      <c r="CE76" s="149"/>
      <c r="CF76" s="149"/>
      <c r="CG76" s="149"/>
      <c r="CH76" s="149"/>
      <c r="CI76" s="149"/>
      <c r="CJ76" s="149"/>
      <c r="CK76" s="149"/>
      <c r="CL76" s="149"/>
      <c r="CM76" s="149"/>
      <c r="CN76" s="149"/>
      <c r="CO76" s="149"/>
      <c r="CP76" s="149"/>
      <c r="CQ76" s="149"/>
      <c r="CR76" s="149"/>
    </row>
    <row r="77" spans="1:96">
      <c r="A77" s="149"/>
      <c r="B77" s="149"/>
      <c r="C77" s="149"/>
      <c r="D77" s="8">
        <v>32</v>
      </c>
      <c r="E77" s="173" t="s">
        <v>381</v>
      </c>
      <c r="F77" s="189" t="s">
        <v>382</v>
      </c>
      <c r="G77" s="142">
        <v>94.880237115252555</v>
      </c>
      <c r="H77" s="142">
        <v>8.8078641358641363</v>
      </c>
      <c r="I77" s="142">
        <v>94.940249342702529</v>
      </c>
      <c r="J77" s="142">
        <v>8.7383041458541477</v>
      </c>
      <c r="K77" s="77">
        <v>22404204</v>
      </c>
      <c r="L77" s="9">
        <v>6</v>
      </c>
      <c r="M77" s="67">
        <v>92.980500000000006</v>
      </c>
      <c r="N77" s="67">
        <v>92.778599999999997</v>
      </c>
      <c r="O77" s="201">
        <f t="shared" ca="1" si="11"/>
        <v>222</v>
      </c>
      <c r="P77" s="206">
        <v>46461</v>
      </c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  <c r="BI77" s="149"/>
      <c r="BJ77" s="149"/>
      <c r="BK77" s="149"/>
      <c r="BL77" s="149"/>
      <c r="BM77" s="149"/>
      <c r="BN77" s="149"/>
      <c r="BO77" s="149"/>
      <c r="BP77" s="149"/>
      <c r="BQ77" s="149"/>
      <c r="BR77" s="149"/>
      <c r="BS77" s="149"/>
      <c r="BT77" s="149"/>
      <c r="BU77" s="149"/>
      <c r="BV77" s="149"/>
      <c r="BW77" s="149"/>
      <c r="BX77" s="149"/>
      <c r="BY77" s="149"/>
      <c r="BZ77" s="149"/>
      <c r="CA77" s="149"/>
      <c r="CB77" s="149"/>
      <c r="CC77" s="149"/>
      <c r="CD77" s="149"/>
      <c r="CE77" s="149"/>
      <c r="CF77" s="149"/>
      <c r="CG77" s="149"/>
      <c r="CH77" s="149"/>
      <c r="CI77" s="149"/>
      <c r="CJ77" s="149"/>
      <c r="CK77" s="149"/>
      <c r="CL77" s="149"/>
      <c r="CM77" s="149"/>
      <c r="CN77" s="149"/>
      <c r="CO77" s="149"/>
      <c r="CP77" s="149"/>
      <c r="CQ77" s="149"/>
      <c r="CR77" s="149"/>
    </row>
    <row r="78" spans="1:96">
      <c r="A78" s="149"/>
      <c r="B78" s="149"/>
      <c r="C78" s="149"/>
      <c r="D78" s="8">
        <v>33</v>
      </c>
      <c r="E78" s="173" t="s">
        <v>383</v>
      </c>
      <c r="F78" s="189" t="s">
        <v>384</v>
      </c>
      <c r="G78" s="142">
        <v>94.618020269526738</v>
      </c>
      <c r="H78" s="142">
        <v>9.0020567932067923</v>
      </c>
      <c r="I78" s="142">
        <v>94.680051388541628</v>
      </c>
      <c r="J78" s="142">
        <v>8.9313036213786212</v>
      </c>
      <c r="K78" s="77">
        <v>6521602</v>
      </c>
      <c r="L78" s="9">
        <v>4</v>
      </c>
      <c r="M78" s="67">
        <v>94.1297</v>
      </c>
      <c r="N78" s="67">
        <v>94.1297</v>
      </c>
      <c r="O78" s="201">
        <f t="shared" ca="1" si="11"/>
        <v>229</v>
      </c>
      <c r="P78" s="206">
        <v>46468</v>
      </c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  <c r="BI78" s="149"/>
      <c r="BJ78" s="149"/>
      <c r="BK78" s="149"/>
      <c r="BL78" s="149"/>
      <c r="BM78" s="149"/>
      <c r="BN78" s="149"/>
      <c r="BO78" s="149"/>
      <c r="BP78" s="149"/>
      <c r="BQ78" s="149"/>
      <c r="BR78" s="149"/>
      <c r="BS78" s="149"/>
      <c r="BT78" s="149"/>
      <c r="BU78" s="149"/>
      <c r="BV78" s="149"/>
      <c r="BW78" s="149"/>
      <c r="BX78" s="149"/>
      <c r="BY78" s="149"/>
      <c r="BZ78" s="149"/>
      <c r="CA78" s="149"/>
      <c r="CB78" s="149"/>
      <c r="CC78" s="149"/>
      <c r="CD78" s="149"/>
      <c r="CE78" s="149"/>
      <c r="CF78" s="149"/>
      <c r="CG78" s="149"/>
      <c r="CH78" s="149"/>
      <c r="CI78" s="149"/>
      <c r="CJ78" s="149"/>
      <c r="CK78" s="149"/>
      <c r="CL78" s="149"/>
      <c r="CM78" s="149"/>
      <c r="CN78" s="149"/>
      <c r="CO78" s="149"/>
      <c r="CP78" s="149"/>
      <c r="CQ78" s="149"/>
      <c r="CR78" s="149"/>
    </row>
    <row r="79" spans="1:96">
      <c r="A79" s="149"/>
      <c r="B79" s="149"/>
      <c r="C79" s="149"/>
      <c r="D79" s="8">
        <v>34</v>
      </c>
      <c r="E79" s="173" t="s">
        <v>385</v>
      </c>
      <c r="F79" s="189" t="s">
        <v>386</v>
      </c>
      <c r="G79" s="142">
        <v>94.350599433431498</v>
      </c>
      <c r="H79" s="142">
        <v>9.1962494505494501</v>
      </c>
      <c r="I79" s="142">
        <v>94.414658287750512</v>
      </c>
      <c r="J79" s="142">
        <v>9.1243030969030983</v>
      </c>
      <c r="K79" s="77"/>
      <c r="L79" s="9"/>
      <c r="M79" s="67">
        <v>93.001999999999995</v>
      </c>
      <c r="N79" s="67">
        <v>93.001999999999995</v>
      </c>
      <c r="O79" s="201">
        <f t="shared" ca="1" si="11"/>
        <v>236</v>
      </c>
      <c r="P79" s="207">
        <v>46475</v>
      </c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149"/>
      <c r="AD79" s="149"/>
      <c r="AE79" s="149"/>
      <c r="AF79" s="149"/>
      <c r="AG79" s="149"/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  <c r="BI79" s="149"/>
      <c r="BJ79" s="149"/>
      <c r="BK79" s="149"/>
      <c r="BL79" s="149"/>
      <c r="BM79" s="149"/>
      <c r="BN79" s="149"/>
      <c r="BO79" s="149"/>
      <c r="BP79" s="149"/>
      <c r="BQ79" s="149"/>
      <c r="BR79" s="149"/>
      <c r="BS79" s="149"/>
      <c r="BT79" s="149"/>
      <c r="BU79" s="149"/>
      <c r="BV79" s="149"/>
      <c r="BW79" s="149"/>
      <c r="BX79" s="149"/>
      <c r="BY79" s="149"/>
      <c r="BZ79" s="149"/>
      <c r="CA79" s="149"/>
      <c r="CB79" s="149"/>
      <c r="CC79" s="149"/>
      <c r="CD79" s="149"/>
      <c r="CE79" s="149"/>
      <c r="CF79" s="149"/>
      <c r="CG79" s="149"/>
      <c r="CH79" s="149"/>
      <c r="CI79" s="149"/>
      <c r="CJ79" s="149"/>
      <c r="CK79" s="149"/>
      <c r="CL79" s="149"/>
      <c r="CM79" s="149"/>
      <c r="CN79" s="149"/>
      <c r="CO79" s="149"/>
      <c r="CP79" s="149"/>
      <c r="CQ79" s="149"/>
      <c r="CR79" s="149"/>
    </row>
    <row r="80" spans="1:96">
      <c r="A80" s="149"/>
      <c r="B80" s="149"/>
      <c r="C80" s="149"/>
      <c r="D80" s="8">
        <v>35</v>
      </c>
      <c r="E80" s="173" t="s">
        <v>387</v>
      </c>
      <c r="F80" s="189" t="s">
        <v>388</v>
      </c>
      <c r="G80" s="142">
        <v>94.078074976069487</v>
      </c>
      <c r="H80" s="142">
        <v>9.3904421078921079</v>
      </c>
      <c r="I80" s="142">
        <v>94.144169241964221</v>
      </c>
      <c r="J80" s="142">
        <v>9.3173025724275718</v>
      </c>
      <c r="K80" s="77"/>
      <c r="L80" s="9"/>
      <c r="M80" s="67">
        <v>100</v>
      </c>
      <c r="N80" s="67">
        <v>100</v>
      </c>
      <c r="O80" s="201">
        <f t="shared" ca="1" si="11"/>
        <v>243</v>
      </c>
      <c r="P80" s="206">
        <v>46482</v>
      </c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  <c r="AC80" s="149"/>
      <c r="AD80" s="149"/>
      <c r="AE80" s="149"/>
      <c r="AF80" s="149"/>
      <c r="AG80" s="149"/>
      <c r="AH80" s="149"/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  <c r="BI80" s="149"/>
      <c r="BJ80" s="149"/>
      <c r="BK80" s="149"/>
      <c r="BL80" s="149"/>
      <c r="BM80" s="149"/>
      <c r="BN80" s="149"/>
      <c r="BO80" s="149"/>
      <c r="BP80" s="149"/>
      <c r="BQ80" s="149"/>
      <c r="BR80" s="149"/>
      <c r="BS80" s="149"/>
      <c r="BT80" s="149"/>
      <c r="BU80" s="149"/>
      <c r="BV80" s="149"/>
      <c r="BW80" s="149"/>
      <c r="BX80" s="149"/>
      <c r="BY80" s="149"/>
      <c r="BZ80" s="149"/>
      <c r="CA80" s="149"/>
      <c r="CB80" s="149"/>
      <c r="CC80" s="149"/>
      <c r="CD80" s="149"/>
      <c r="CE80" s="149"/>
      <c r="CF80" s="149"/>
      <c r="CG80" s="149"/>
      <c r="CH80" s="149"/>
      <c r="CI80" s="149"/>
      <c r="CJ80" s="149"/>
      <c r="CK80" s="149"/>
      <c r="CL80" s="149"/>
      <c r="CM80" s="149"/>
      <c r="CN80" s="149"/>
      <c r="CO80" s="149"/>
      <c r="CP80" s="149"/>
      <c r="CQ80" s="149"/>
      <c r="CR80" s="149"/>
    </row>
    <row r="81" spans="1:96">
      <c r="A81" s="149"/>
      <c r="B81" s="149"/>
      <c r="C81" s="149"/>
      <c r="D81" s="8">
        <v>36</v>
      </c>
      <c r="E81" s="173" t="s">
        <v>389</v>
      </c>
      <c r="F81" s="189" t="s">
        <v>390</v>
      </c>
      <c r="G81" s="142">
        <v>93.800548269726121</v>
      </c>
      <c r="H81" s="142">
        <v>9.5846347652347657</v>
      </c>
      <c r="I81" s="142">
        <v>93.868684463645778</v>
      </c>
      <c r="J81" s="142">
        <v>9.5103020479520488</v>
      </c>
      <c r="K81" s="77"/>
      <c r="L81" s="9"/>
      <c r="M81" s="67">
        <v>91.536699999999996</v>
      </c>
      <c r="N81" s="67">
        <v>91.536699999999996</v>
      </c>
      <c r="O81" s="201">
        <f t="shared" ca="1" si="11"/>
        <v>250</v>
      </c>
      <c r="P81" s="206">
        <v>46489</v>
      </c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  <c r="BI81" s="149"/>
      <c r="BJ81" s="149"/>
      <c r="BK81" s="149"/>
      <c r="BL81" s="149"/>
      <c r="BM81" s="149"/>
      <c r="BN81" s="149"/>
      <c r="BO81" s="149"/>
      <c r="BP81" s="149"/>
      <c r="BQ81" s="149"/>
      <c r="BR81" s="149"/>
      <c r="BS81" s="149"/>
      <c r="BT81" s="149"/>
      <c r="BU81" s="149"/>
      <c r="BV81" s="149"/>
      <c r="BW81" s="149"/>
      <c r="BX81" s="149"/>
      <c r="BY81" s="149"/>
      <c r="BZ81" s="149"/>
      <c r="CA81" s="149"/>
      <c r="CB81" s="149"/>
      <c r="CC81" s="149"/>
      <c r="CD81" s="149"/>
      <c r="CE81" s="149"/>
      <c r="CF81" s="149"/>
      <c r="CG81" s="149"/>
      <c r="CH81" s="149"/>
      <c r="CI81" s="149"/>
      <c r="CJ81" s="149"/>
      <c r="CK81" s="149"/>
      <c r="CL81" s="149"/>
      <c r="CM81" s="149"/>
      <c r="CN81" s="149"/>
      <c r="CO81" s="149"/>
      <c r="CP81" s="149"/>
      <c r="CQ81" s="149"/>
      <c r="CR81" s="149"/>
    </row>
    <row r="82" spans="1:96">
      <c r="A82" s="149"/>
      <c r="B82" s="149"/>
      <c r="C82" s="149"/>
      <c r="D82" s="8">
        <v>37</v>
      </c>
      <c r="E82" s="173" t="s">
        <v>391</v>
      </c>
      <c r="F82" s="189" t="s">
        <v>392</v>
      </c>
      <c r="G82" s="142">
        <v>93.518121604660934</v>
      </c>
      <c r="H82" s="142">
        <v>9.7788274225774234</v>
      </c>
      <c r="I82" s="142">
        <v>93.588305092073313</v>
      </c>
      <c r="J82" s="142">
        <v>9.7033015234765241</v>
      </c>
      <c r="K82" s="77">
        <v>680000</v>
      </c>
      <c r="L82" s="9">
        <v>1</v>
      </c>
      <c r="M82" s="67">
        <v>92.568899999999999</v>
      </c>
      <c r="N82" s="67">
        <v>92.568899999999999</v>
      </c>
      <c r="O82" s="201">
        <f t="shared" ca="1" si="11"/>
        <v>257</v>
      </c>
      <c r="P82" s="207">
        <v>46496</v>
      </c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  <c r="BI82" s="149"/>
      <c r="BJ82" s="149"/>
      <c r="BK82" s="149"/>
      <c r="BL82" s="149"/>
      <c r="BM82" s="149"/>
      <c r="BN82" s="149"/>
      <c r="BO82" s="149"/>
      <c r="BP82" s="149"/>
      <c r="BQ82" s="149"/>
      <c r="BR82" s="149"/>
      <c r="BS82" s="149"/>
      <c r="BT82" s="149"/>
      <c r="BU82" s="149"/>
      <c r="BV82" s="149"/>
      <c r="BW82" s="149"/>
      <c r="BX82" s="149"/>
      <c r="BY82" s="149"/>
      <c r="BZ82" s="149"/>
      <c r="CA82" s="149"/>
      <c r="CB82" s="149"/>
      <c r="CC82" s="149"/>
      <c r="CD82" s="149"/>
      <c r="CE82" s="149"/>
      <c r="CF82" s="149"/>
      <c r="CG82" s="149"/>
      <c r="CH82" s="149"/>
      <c r="CI82" s="149"/>
      <c r="CJ82" s="149"/>
      <c r="CK82" s="149"/>
      <c r="CL82" s="149"/>
      <c r="CM82" s="149"/>
      <c r="CN82" s="149"/>
      <c r="CO82" s="149"/>
      <c r="CP82" s="149"/>
      <c r="CQ82" s="149"/>
      <c r="CR82" s="149"/>
    </row>
    <row r="83" spans="1:96">
      <c r="A83" s="149"/>
      <c r="B83" s="149"/>
      <c r="C83" s="149"/>
      <c r="D83" s="8">
        <v>38</v>
      </c>
      <c r="E83" s="173" t="s">
        <v>393</v>
      </c>
      <c r="F83" s="189" t="s">
        <v>394</v>
      </c>
      <c r="G83" s="142">
        <v>93.230898104421428</v>
      </c>
      <c r="H83" s="142">
        <v>9.9730200799200794</v>
      </c>
      <c r="I83" s="142">
        <v>93.303133109813032</v>
      </c>
      <c r="J83" s="142">
        <v>9.8963009990009994</v>
      </c>
      <c r="K83" s="77">
        <v>1220000</v>
      </c>
      <c r="L83" s="9">
        <v>1</v>
      </c>
      <c r="M83" s="67">
        <v>100</v>
      </c>
      <c r="N83" s="67">
        <v>100</v>
      </c>
      <c r="O83" s="201">
        <f t="shared" ca="1" si="11"/>
        <v>264</v>
      </c>
      <c r="P83" s="206">
        <v>46503</v>
      </c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  <c r="BI83" s="149"/>
      <c r="BJ83" s="149"/>
      <c r="BK83" s="149"/>
      <c r="BL83" s="149"/>
      <c r="BM83" s="149"/>
      <c r="BN83" s="149"/>
      <c r="BO83" s="149"/>
      <c r="BP83" s="149"/>
      <c r="BQ83" s="149"/>
      <c r="BR83" s="149"/>
      <c r="BS83" s="149"/>
      <c r="BT83" s="149"/>
      <c r="BU83" s="149"/>
      <c r="BV83" s="149"/>
      <c r="BW83" s="149"/>
      <c r="BX83" s="149"/>
      <c r="BY83" s="149"/>
      <c r="BZ83" s="149"/>
      <c r="CA83" s="149"/>
      <c r="CB83" s="149"/>
      <c r="CC83" s="149"/>
      <c r="CD83" s="149"/>
      <c r="CE83" s="149"/>
      <c r="CF83" s="149"/>
      <c r="CG83" s="149"/>
      <c r="CH83" s="149"/>
      <c r="CI83" s="149"/>
      <c r="CJ83" s="149"/>
      <c r="CK83" s="149"/>
      <c r="CL83" s="149"/>
      <c r="CM83" s="149"/>
      <c r="CN83" s="149"/>
      <c r="CO83" s="149"/>
      <c r="CP83" s="149"/>
      <c r="CQ83" s="149"/>
      <c r="CR83" s="149"/>
    </row>
    <row r="84" spans="1:96">
      <c r="A84" s="149"/>
      <c r="B84" s="149"/>
      <c r="C84" s="149"/>
      <c r="D84" s="8">
        <v>39</v>
      </c>
      <c r="E84" s="173" t="s">
        <v>395</v>
      </c>
      <c r="F84" s="189" t="s">
        <v>396</v>
      </c>
      <c r="G84" s="142">
        <v>92.936625243250788</v>
      </c>
      <c r="H84" s="142">
        <v>10.170863607668927</v>
      </c>
      <c r="I84" s="142">
        <v>93.011660242551514</v>
      </c>
      <c r="J84" s="142">
        <v>10.091801683422961</v>
      </c>
      <c r="K84" s="77"/>
      <c r="L84" s="9"/>
      <c r="M84" s="67">
        <v>91.549300000000002</v>
      </c>
      <c r="N84" s="67">
        <v>91.549300000000002</v>
      </c>
      <c r="O84" s="201">
        <f t="shared" ca="1" si="11"/>
        <v>271</v>
      </c>
      <c r="P84" s="206">
        <v>46510</v>
      </c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  <c r="BI84" s="149"/>
      <c r="BJ84" s="149"/>
      <c r="BK84" s="149"/>
      <c r="BL84" s="149"/>
      <c r="BM84" s="149"/>
      <c r="BN84" s="149"/>
      <c r="BO84" s="149"/>
      <c r="BP84" s="149"/>
      <c r="BQ84" s="149"/>
      <c r="BR84" s="149"/>
      <c r="BS84" s="149"/>
      <c r="BT84" s="149"/>
      <c r="BU84" s="149"/>
      <c r="BV84" s="149"/>
      <c r="BW84" s="149"/>
      <c r="BX84" s="149"/>
      <c r="BY84" s="149"/>
      <c r="BZ84" s="149"/>
      <c r="CA84" s="149"/>
      <c r="CB84" s="149"/>
      <c r="CC84" s="149"/>
      <c r="CD84" s="149"/>
      <c r="CE84" s="149"/>
      <c r="CF84" s="149"/>
      <c r="CG84" s="149"/>
      <c r="CH84" s="149"/>
      <c r="CI84" s="149"/>
      <c r="CJ84" s="149"/>
      <c r="CK84" s="149"/>
      <c r="CL84" s="149"/>
      <c r="CM84" s="149"/>
      <c r="CN84" s="149"/>
      <c r="CO84" s="149"/>
      <c r="CP84" s="149"/>
      <c r="CQ84" s="149"/>
      <c r="CR84" s="149"/>
    </row>
    <row r="85" spans="1:96">
      <c r="A85" s="149"/>
      <c r="B85" s="149"/>
      <c r="C85" s="149"/>
      <c r="D85" s="8">
        <v>40</v>
      </c>
      <c r="E85" s="173" t="s">
        <v>397</v>
      </c>
      <c r="F85" s="189" t="s">
        <v>398</v>
      </c>
      <c r="G85" s="142">
        <v>92.631670346423874</v>
      </c>
      <c r="H85" s="142">
        <v>10.377834311433247</v>
      </c>
      <c r="I85" s="142">
        <v>92.705687129071165</v>
      </c>
      <c r="J85" s="142">
        <v>10.302309621229835</v>
      </c>
      <c r="K85" s="77"/>
      <c r="L85" s="9"/>
      <c r="M85" s="67">
        <v>91</v>
      </c>
      <c r="N85" s="67">
        <v>91</v>
      </c>
      <c r="O85" s="201">
        <f t="shared" ca="1" si="11"/>
        <v>278</v>
      </c>
      <c r="P85" s="207">
        <v>46517</v>
      </c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  <c r="AC85" s="149"/>
      <c r="AD85" s="149"/>
      <c r="AE85" s="149"/>
      <c r="AF85" s="149"/>
      <c r="AG85" s="149"/>
      <c r="AH85" s="149"/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  <c r="BI85" s="149"/>
      <c r="BJ85" s="149"/>
      <c r="BK85" s="149"/>
      <c r="BL85" s="149"/>
      <c r="BM85" s="149"/>
      <c r="BN85" s="149"/>
      <c r="BO85" s="149"/>
      <c r="BP85" s="149"/>
      <c r="BQ85" s="149"/>
      <c r="BR85" s="149"/>
      <c r="BS85" s="149"/>
      <c r="BT85" s="149"/>
      <c r="BU85" s="149"/>
      <c r="BV85" s="149"/>
      <c r="BW85" s="149"/>
      <c r="BX85" s="149"/>
      <c r="BY85" s="149"/>
      <c r="BZ85" s="149"/>
      <c r="CA85" s="149"/>
      <c r="CB85" s="149"/>
      <c r="CC85" s="149"/>
      <c r="CD85" s="149"/>
      <c r="CE85" s="149"/>
      <c r="CF85" s="149"/>
      <c r="CG85" s="149"/>
      <c r="CH85" s="149"/>
      <c r="CI85" s="149"/>
      <c r="CJ85" s="149"/>
      <c r="CK85" s="149"/>
      <c r="CL85" s="149"/>
      <c r="CM85" s="149"/>
      <c r="CN85" s="149"/>
      <c r="CO85" s="149"/>
      <c r="CP85" s="149"/>
      <c r="CQ85" s="149"/>
      <c r="CR85" s="149"/>
    </row>
    <row r="86" spans="1:96">
      <c r="A86" s="149"/>
      <c r="B86" s="149"/>
      <c r="C86" s="149"/>
      <c r="D86" s="8">
        <v>41</v>
      </c>
      <c r="E86" s="173" t="s">
        <v>399</v>
      </c>
      <c r="F86" s="189" t="s">
        <v>400</v>
      </c>
      <c r="G86" s="24">
        <v>92.321924787475169</v>
      </c>
      <c r="H86" s="24">
        <v>10.584805015197569</v>
      </c>
      <c r="I86" s="24">
        <v>92.394808183437348</v>
      </c>
      <c r="J86" s="24">
        <v>10.512817559036709</v>
      </c>
      <c r="K86" s="77">
        <v>11023</v>
      </c>
      <c r="L86" s="9">
        <v>1</v>
      </c>
      <c r="M86" s="67">
        <v>100</v>
      </c>
      <c r="N86" s="67">
        <v>90.858000000000004</v>
      </c>
      <c r="O86" s="201">
        <f t="shared" ca="1" si="11"/>
        <v>285</v>
      </c>
      <c r="P86" s="206">
        <v>46524</v>
      </c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  <c r="AC86" s="149"/>
      <c r="AD86" s="149"/>
      <c r="AE86" s="149"/>
      <c r="AF86" s="149"/>
      <c r="AG86" s="149"/>
      <c r="AH86" s="149"/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  <c r="BI86" s="149"/>
      <c r="BJ86" s="149"/>
      <c r="BK86" s="149"/>
      <c r="BL86" s="149"/>
      <c r="BM86" s="149"/>
      <c r="BN86" s="149"/>
      <c r="BO86" s="149"/>
      <c r="BP86" s="149"/>
      <c r="BQ86" s="149"/>
      <c r="BR86" s="149"/>
      <c r="BS86" s="149"/>
      <c r="BT86" s="149"/>
      <c r="BU86" s="149"/>
      <c r="BV86" s="149"/>
      <c r="BW86" s="149"/>
      <c r="BX86" s="149"/>
      <c r="BY86" s="149"/>
      <c r="BZ86" s="149"/>
      <c r="CA86" s="149"/>
      <c r="CB86" s="149"/>
      <c r="CC86" s="149"/>
      <c r="CD86" s="149"/>
      <c r="CE86" s="149"/>
      <c r="CF86" s="149"/>
      <c r="CG86" s="149"/>
      <c r="CH86" s="149"/>
      <c r="CI86" s="149"/>
      <c r="CJ86" s="149"/>
      <c r="CK86" s="149"/>
      <c r="CL86" s="149"/>
      <c r="CM86" s="149"/>
      <c r="CN86" s="149"/>
      <c r="CO86" s="149"/>
      <c r="CP86" s="149"/>
      <c r="CQ86" s="149"/>
      <c r="CR86" s="149"/>
    </row>
    <row r="87" spans="1:96">
      <c r="A87" s="149"/>
      <c r="B87" s="149"/>
      <c r="C87" s="149"/>
      <c r="D87" s="8">
        <v>42</v>
      </c>
      <c r="E87" s="173" t="s">
        <v>401</v>
      </c>
      <c r="F87" s="189" t="s">
        <v>402</v>
      </c>
      <c r="G87" s="24">
        <v>92.007504519300468</v>
      </c>
      <c r="H87" s="24">
        <v>10.79177571896189</v>
      </c>
      <c r="I87" s="24">
        <v>92.079142120114327</v>
      </c>
      <c r="J87" s="24">
        <v>10.723325496843582</v>
      </c>
      <c r="K87" s="77">
        <v>400000</v>
      </c>
      <c r="L87" s="9">
        <v>1</v>
      </c>
      <c r="M87" s="67">
        <v>93.034000000000006</v>
      </c>
      <c r="N87" s="67">
        <v>90.539599999999993</v>
      </c>
      <c r="O87" s="201">
        <f t="shared" ca="1" si="11"/>
        <v>292</v>
      </c>
      <c r="P87" s="206">
        <v>46531</v>
      </c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  <c r="AE87" s="149"/>
      <c r="AF87" s="149"/>
      <c r="AG87" s="149"/>
      <c r="AH87" s="149"/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  <c r="BI87" s="149"/>
      <c r="BJ87" s="149"/>
      <c r="BK87" s="149"/>
      <c r="BL87" s="149"/>
      <c r="BM87" s="149"/>
      <c r="BN87" s="149"/>
      <c r="BO87" s="149"/>
      <c r="BP87" s="149"/>
      <c r="BQ87" s="149"/>
      <c r="BR87" s="149"/>
      <c r="BS87" s="149"/>
      <c r="BT87" s="149"/>
      <c r="BU87" s="149"/>
      <c r="BV87" s="149"/>
      <c r="BW87" s="149"/>
      <c r="BX87" s="149"/>
      <c r="BY87" s="149"/>
      <c r="BZ87" s="149"/>
      <c r="CA87" s="149"/>
      <c r="CB87" s="149"/>
      <c r="CC87" s="149"/>
      <c r="CD87" s="149"/>
      <c r="CE87" s="149"/>
      <c r="CF87" s="149"/>
      <c r="CG87" s="149"/>
      <c r="CH87" s="149"/>
      <c r="CI87" s="149"/>
      <c r="CJ87" s="149"/>
      <c r="CK87" s="149"/>
      <c r="CL87" s="149"/>
      <c r="CM87" s="149"/>
      <c r="CN87" s="149"/>
      <c r="CO87" s="149"/>
      <c r="CP87" s="149"/>
      <c r="CQ87" s="149"/>
      <c r="CR87" s="149"/>
    </row>
    <row r="88" spans="1:96">
      <c r="A88" s="149"/>
      <c r="B88" s="149"/>
      <c r="C88" s="149"/>
      <c r="D88" s="8">
        <v>43</v>
      </c>
      <c r="E88" s="173" t="s">
        <v>403</v>
      </c>
      <c r="F88" s="189" t="s">
        <v>404</v>
      </c>
      <c r="G88" s="24">
        <v>91.688525984779147</v>
      </c>
      <c r="H88" s="24">
        <v>10.99874642272621</v>
      </c>
      <c r="I88" s="24">
        <v>91.758808188373081</v>
      </c>
      <c r="J88" s="24">
        <v>10.933833434650456</v>
      </c>
      <c r="K88" s="77">
        <v>2560650</v>
      </c>
      <c r="L88" s="9">
        <v>3</v>
      </c>
      <c r="M88" s="67">
        <v>90.078999999999994</v>
      </c>
      <c r="N88" s="67">
        <v>90.078999999999994</v>
      </c>
      <c r="O88" s="201">
        <f t="shared" ca="1" si="11"/>
        <v>299</v>
      </c>
      <c r="P88" s="207">
        <v>46538</v>
      </c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  <c r="AC88" s="149"/>
      <c r="AD88" s="149"/>
      <c r="AE88" s="149"/>
      <c r="AF88" s="149"/>
      <c r="AG88" s="149"/>
      <c r="AH88" s="149"/>
      <c r="AI88" s="149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  <c r="BI88" s="149"/>
      <c r="BJ88" s="149"/>
      <c r="BK88" s="149"/>
      <c r="BL88" s="149"/>
      <c r="BM88" s="149"/>
      <c r="BN88" s="149"/>
      <c r="BO88" s="149"/>
      <c r="BP88" s="149"/>
      <c r="BQ88" s="149"/>
      <c r="BR88" s="149"/>
      <c r="BS88" s="149"/>
      <c r="BT88" s="149"/>
      <c r="BU88" s="149"/>
      <c r="BV88" s="149"/>
      <c r="BW88" s="149"/>
      <c r="BX88" s="149"/>
      <c r="BY88" s="149"/>
      <c r="BZ88" s="149"/>
      <c r="CA88" s="149"/>
      <c r="CB88" s="149"/>
      <c r="CC88" s="149"/>
      <c r="CD88" s="149"/>
      <c r="CE88" s="149"/>
      <c r="CF88" s="149"/>
      <c r="CG88" s="149"/>
      <c r="CH88" s="149"/>
      <c r="CI88" s="149"/>
      <c r="CJ88" s="149"/>
      <c r="CK88" s="149"/>
      <c r="CL88" s="149"/>
      <c r="CM88" s="149"/>
      <c r="CN88" s="149"/>
      <c r="CO88" s="149"/>
      <c r="CP88" s="149"/>
      <c r="CQ88" s="149"/>
      <c r="CR88" s="149"/>
    </row>
    <row r="89" spans="1:96">
      <c r="A89" s="149"/>
      <c r="B89" s="149"/>
      <c r="C89" s="149"/>
      <c r="D89" s="8">
        <v>44</v>
      </c>
      <c r="E89" s="173" t="s">
        <v>405</v>
      </c>
      <c r="F89" s="189" t="s">
        <v>406</v>
      </c>
      <c r="G89" s="24">
        <v>91.365106023799584</v>
      </c>
      <c r="H89" s="24">
        <v>11.205717126490532</v>
      </c>
      <c r="I89" s="24">
        <v>91.43392607494043</v>
      </c>
      <c r="J89" s="24">
        <v>11.14434137245733</v>
      </c>
      <c r="K89" s="77"/>
      <c r="L89" s="9"/>
      <c r="M89" s="67">
        <v>90.484200000000001</v>
      </c>
      <c r="N89" s="67">
        <v>90.484200000000001</v>
      </c>
      <c r="O89" s="201">
        <f t="shared" ca="1" si="11"/>
        <v>306</v>
      </c>
      <c r="P89" s="206">
        <v>46545</v>
      </c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  <c r="BI89" s="149"/>
      <c r="BJ89" s="149"/>
      <c r="BK89" s="149"/>
      <c r="BL89" s="149"/>
      <c r="BM89" s="149"/>
      <c r="BN89" s="149"/>
      <c r="BO89" s="149"/>
      <c r="BP89" s="149"/>
      <c r="BQ89" s="149"/>
      <c r="BR89" s="149"/>
      <c r="BS89" s="149"/>
      <c r="BT89" s="149"/>
      <c r="BU89" s="149"/>
      <c r="BV89" s="149"/>
      <c r="BW89" s="149"/>
      <c r="BX89" s="149"/>
      <c r="BY89" s="149"/>
      <c r="BZ89" s="149"/>
      <c r="CA89" s="149"/>
      <c r="CB89" s="149"/>
      <c r="CC89" s="149"/>
      <c r="CD89" s="149"/>
      <c r="CE89" s="149"/>
      <c r="CF89" s="149"/>
      <c r="CG89" s="149"/>
      <c r="CH89" s="149"/>
      <c r="CI89" s="149"/>
      <c r="CJ89" s="149"/>
      <c r="CK89" s="149"/>
      <c r="CL89" s="149"/>
      <c r="CM89" s="149"/>
      <c r="CN89" s="149"/>
      <c r="CO89" s="149"/>
      <c r="CP89" s="149"/>
      <c r="CQ89" s="149"/>
      <c r="CR89" s="149"/>
    </row>
    <row r="90" spans="1:96">
      <c r="A90" s="149"/>
      <c r="B90" s="149"/>
      <c r="C90" s="149"/>
      <c r="D90" s="8">
        <v>45</v>
      </c>
      <c r="E90" s="173" t="s">
        <v>407</v>
      </c>
      <c r="F90" s="189" t="s">
        <v>408</v>
      </c>
      <c r="G90" s="24">
        <v>91.03736178175258</v>
      </c>
      <c r="H90" s="24">
        <v>11.412687830254853</v>
      </c>
      <c r="I90" s="24">
        <v>91.104615808159977</v>
      </c>
      <c r="J90" s="24">
        <v>11.354849310264203</v>
      </c>
      <c r="K90" s="77">
        <v>10859885</v>
      </c>
      <c r="L90" s="9">
        <v>1</v>
      </c>
      <c r="M90" s="67">
        <v>100</v>
      </c>
      <c r="N90" s="67">
        <v>90.430300000000003</v>
      </c>
      <c r="O90" s="201">
        <f t="shared" ca="1" si="11"/>
        <v>313</v>
      </c>
      <c r="P90" s="206">
        <v>46552</v>
      </c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49"/>
      <c r="AD90" s="149"/>
      <c r="AE90" s="149"/>
      <c r="AF90" s="149"/>
      <c r="AG90" s="149"/>
      <c r="AH90" s="149"/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  <c r="BI90" s="149"/>
      <c r="BJ90" s="149"/>
      <c r="BK90" s="149"/>
      <c r="BL90" s="149"/>
      <c r="BM90" s="149"/>
      <c r="BN90" s="149"/>
      <c r="BO90" s="149"/>
      <c r="BP90" s="149"/>
      <c r="BQ90" s="149"/>
      <c r="BR90" s="149"/>
      <c r="BS90" s="149"/>
      <c r="BT90" s="149"/>
      <c r="BU90" s="149"/>
      <c r="BV90" s="149"/>
      <c r="BW90" s="149"/>
      <c r="BX90" s="149"/>
      <c r="BY90" s="149"/>
      <c r="BZ90" s="149"/>
      <c r="CA90" s="149"/>
      <c r="CB90" s="149"/>
      <c r="CC90" s="149"/>
      <c r="CD90" s="149"/>
      <c r="CE90" s="149"/>
      <c r="CF90" s="149"/>
      <c r="CG90" s="149"/>
      <c r="CH90" s="149"/>
      <c r="CI90" s="149"/>
      <c r="CJ90" s="149"/>
      <c r="CK90" s="149"/>
      <c r="CL90" s="149"/>
      <c r="CM90" s="149"/>
      <c r="CN90" s="149"/>
      <c r="CO90" s="149"/>
      <c r="CP90" s="149"/>
      <c r="CQ90" s="149"/>
      <c r="CR90" s="149"/>
    </row>
    <row r="91" spans="1:96">
      <c r="A91" s="149"/>
      <c r="B91" s="149"/>
      <c r="C91" s="149"/>
      <c r="D91" s="8">
        <v>46</v>
      </c>
      <c r="E91" s="173" t="s">
        <v>409</v>
      </c>
      <c r="F91" s="189" t="s">
        <v>410</v>
      </c>
      <c r="G91" s="24">
        <v>90.70541061959733</v>
      </c>
      <c r="H91" s="24">
        <v>11.619658534019173</v>
      </c>
      <c r="I91" s="24">
        <v>90.770997663776683</v>
      </c>
      <c r="J91" s="24">
        <v>11.565357248071077</v>
      </c>
      <c r="K91" s="77">
        <v>11685761</v>
      </c>
      <c r="L91" s="9">
        <v>4</v>
      </c>
      <c r="M91" s="67">
        <v>90.268799999999999</v>
      </c>
      <c r="N91" s="67">
        <v>90.268799999999999</v>
      </c>
      <c r="O91" s="201">
        <f t="shared" ca="1" si="11"/>
        <v>320</v>
      </c>
      <c r="P91" s="207">
        <v>46559</v>
      </c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49"/>
      <c r="AD91" s="149"/>
      <c r="AE91" s="149"/>
      <c r="AF91" s="149"/>
      <c r="AG91" s="149"/>
      <c r="AH91" s="149"/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  <c r="BI91" s="149"/>
      <c r="BJ91" s="149"/>
      <c r="BK91" s="149"/>
      <c r="BL91" s="149"/>
      <c r="BM91" s="149"/>
      <c r="BN91" s="149"/>
      <c r="BO91" s="149"/>
      <c r="BP91" s="149"/>
      <c r="BQ91" s="149"/>
      <c r="BR91" s="149"/>
      <c r="BS91" s="149"/>
      <c r="BT91" s="149"/>
      <c r="BU91" s="149"/>
      <c r="BV91" s="149"/>
      <c r="BW91" s="149"/>
      <c r="BX91" s="149"/>
      <c r="BY91" s="149"/>
      <c r="BZ91" s="149"/>
      <c r="CA91" s="149"/>
      <c r="CB91" s="149"/>
      <c r="CC91" s="149"/>
      <c r="CD91" s="149"/>
      <c r="CE91" s="149"/>
      <c r="CF91" s="149"/>
      <c r="CG91" s="149"/>
      <c r="CH91" s="149"/>
      <c r="CI91" s="149"/>
      <c r="CJ91" s="149"/>
      <c r="CK91" s="149"/>
      <c r="CL91" s="149"/>
      <c r="CM91" s="149"/>
      <c r="CN91" s="149"/>
      <c r="CO91" s="149"/>
      <c r="CP91" s="149"/>
      <c r="CQ91" s="149"/>
      <c r="CR91" s="149"/>
    </row>
    <row r="92" spans="1:96">
      <c r="A92" s="149"/>
      <c r="B92" s="149"/>
      <c r="C92" s="149"/>
      <c r="D92" s="8">
        <v>47</v>
      </c>
      <c r="E92" s="173" t="s">
        <v>411</v>
      </c>
      <c r="F92" s="189" t="s">
        <v>412</v>
      </c>
      <c r="G92" s="24">
        <v>90.369370025596368</v>
      </c>
      <c r="H92" s="24">
        <v>11.826629237783493</v>
      </c>
      <c r="I92" s="24">
        <v>90.43319207244987</v>
      </c>
      <c r="J92" s="24">
        <v>11.775865185877951</v>
      </c>
      <c r="K92" s="77"/>
      <c r="L92" s="9"/>
      <c r="M92" s="67">
        <v>89.461500000000001</v>
      </c>
      <c r="N92" s="67">
        <v>89.461299999999994</v>
      </c>
      <c r="O92" s="201">
        <f t="shared" ca="1" si="11"/>
        <v>327</v>
      </c>
      <c r="P92" s="206">
        <v>46566</v>
      </c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149"/>
      <c r="AD92" s="149"/>
      <c r="AE92" s="149"/>
      <c r="AF92" s="149"/>
      <c r="AG92" s="149"/>
      <c r="AH92" s="149"/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  <c r="BI92" s="149"/>
      <c r="BJ92" s="149"/>
      <c r="BK92" s="149"/>
      <c r="BL92" s="149"/>
      <c r="BM92" s="149"/>
      <c r="BN92" s="149"/>
      <c r="BO92" s="149"/>
      <c r="BP92" s="149"/>
      <c r="BQ92" s="149"/>
      <c r="BR92" s="149"/>
      <c r="BS92" s="149"/>
      <c r="BT92" s="149"/>
      <c r="BU92" s="149"/>
      <c r="BV92" s="149"/>
      <c r="BW92" s="149"/>
      <c r="BX92" s="149"/>
      <c r="BY92" s="149"/>
      <c r="BZ92" s="149"/>
      <c r="CA92" s="149"/>
      <c r="CB92" s="149"/>
      <c r="CC92" s="149"/>
      <c r="CD92" s="149"/>
      <c r="CE92" s="149"/>
      <c r="CF92" s="149"/>
      <c r="CG92" s="149"/>
      <c r="CH92" s="149"/>
      <c r="CI92" s="149"/>
      <c r="CJ92" s="149"/>
      <c r="CK92" s="149"/>
      <c r="CL92" s="149"/>
      <c r="CM92" s="149"/>
      <c r="CN92" s="149"/>
      <c r="CO92" s="149"/>
      <c r="CP92" s="149"/>
      <c r="CQ92" s="149"/>
      <c r="CR92" s="149"/>
    </row>
    <row r="93" spans="1:96">
      <c r="A93" s="149"/>
      <c r="B93" s="149"/>
      <c r="C93" s="149"/>
      <c r="D93" s="8">
        <v>48</v>
      </c>
      <c r="E93" s="173" t="s">
        <v>413</v>
      </c>
      <c r="F93" s="189" t="s">
        <v>414</v>
      </c>
      <c r="G93" s="24">
        <v>90.029357528811573</v>
      </c>
      <c r="H93" s="24">
        <v>12.033599941547815</v>
      </c>
      <c r="I93" s="24">
        <v>90.091319529093511</v>
      </c>
      <c r="J93" s="24">
        <v>11.986373123684826</v>
      </c>
      <c r="K93" s="77">
        <v>22546</v>
      </c>
      <c r="L93" s="9">
        <v>1</v>
      </c>
      <c r="M93" s="67">
        <v>90.2744</v>
      </c>
      <c r="N93" s="67">
        <v>89.894300000000001</v>
      </c>
      <c r="O93" s="201">
        <f t="shared" ca="1" si="11"/>
        <v>334</v>
      </c>
      <c r="P93" s="206">
        <v>46573</v>
      </c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49"/>
      <c r="AD93" s="149"/>
      <c r="AE93" s="149"/>
      <c r="AF93" s="149"/>
      <c r="AG93" s="149"/>
      <c r="AH93" s="149"/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  <c r="BI93" s="149"/>
      <c r="BJ93" s="149"/>
      <c r="BK93" s="149"/>
      <c r="BL93" s="149"/>
      <c r="BM93" s="149"/>
      <c r="BN93" s="149"/>
      <c r="BO93" s="149"/>
      <c r="BP93" s="149"/>
      <c r="BQ93" s="149"/>
      <c r="BR93" s="149"/>
      <c r="BS93" s="149"/>
      <c r="BT93" s="149"/>
      <c r="BU93" s="149"/>
      <c r="BV93" s="149"/>
      <c r="BW93" s="149"/>
      <c r="BX93" s="149"/>
      <c r="BY93" s="149"/>
      <c r="BZ93" s="149"/>
      <c r="CA93" s="149"/>
      <c r="CB93" s="149"/>
      <c r="CC93" s="149"/>
      <c r="CD93" s="149"/>
      <c r="CE93" s="149"/>
      <c r="CF93" s="149"/>
      <c r="CG93" s="149"/>
      <c r="CH93" s="149"/>
      <c r="CI93" s="149"/>
      <c r="CJ93" s="149"/>
      <c r="CK93" s="149"/>
      <c r="CL93" s="149"/>
      <c r="CM93" s="149"/>
      <c r="CN93" s="149"/>
      <c r="CO93" s="149"/>
      <c r="CP93" s="149"/>
      <c r="CQ93" s="149"/>
      <c r="CR93" s="149"/>
    </row>
    <row r="94" spans="1:96">
      <c r="A94" s="149"/>
      <c r="B94" s="149"/>
      <c r="C94" s="149"/>
      <c r="D94" s="8">
        <v>49</v>
      </c>
      <c r="E94" s="173" t="s">
        <v>415</v>
      </c>
      <c r="F94" s="189" t="s">
        <v>416</v>
      </c>
      <c r="G94" s="24">
        <v>89.685490614446223</v>
      </c>
      <c r="H94" s="24">
        <v>12.240570645312136</v>
      </c>
      <c r="I94" s="24">
        <v>89.745500504135507</v>
      </c>
      <c r="J94" s="24">
        <v>12.1968810614917</v>
      </c>
      <c r="K94" s="77">
        <v>15890663</v>
      </c>
      <c r="L94" s="9">
        <v>3</v>
      </c>
      <c r="M94" s="67">
        <v>100</v>
      </c>
      <c r="N94" s="67">
        <v>100</v>
      </c>
      <c r="O94" s="201">
        <f t="shared" ca="1" si="11"/>
        <v>341</v>
      </c>
      <c r="P94" s="207">
        <v>46580</v>
      </c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49"/>
      <c r="AD94" s="149"/>
      <c r="AE94" s="149"/>
      <c r="AF94" s="149"/>
      <c r="AG94" s="149"/>
      <c r="AH94" s="149"/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  <c r="BI94" s="149"/>
      <c r="BJ94" s="149"/>
      <c r="BK94" s="149"/>
      <c r="BL94" s="149"/>
      <c r="BM94" s="149"/>
      <c r="BN94" s="149"/>
      <c r="BO94" s="149"/>
      <c r="BP94" s="149"/>
      <c r="BQ94" s="149"/>
      <c r="BR94" s="149"/>
      <c r="BS94" s="149"/>
      <c r="BT94" s="149"/>
      <c r="BU94" s="149"/>
      <c r="BV94" s="149"/>
      <c r="BW94" s="149"/>
      <c r="BX94" s="149"/>
      <c r="BY94" s="149"/>
      <c r="BZ94" s="149"/>
      <c r="CA94" s="149"/>
      <c r="CB94" s="149"/>
      <c r="CC94" s="149"/>
      <c r="CD94" s="149"/>
      <c r="CE94" s="149"/>
      <c r="CF94" s="149"/>
      <c r="CG94" s="149"/>
      <c r="CH94" s="149"/>
      <c r="CI94" s="149"/>
      <c r="CJ94" s="149"/>
      <c r="CK94" s="149"/>
      <c r="CL94" s="149"/>
      <c r="CM94" s="149"/>
      <c r="CN94" s="149"/>
      <c r="CO94" s="149"/>
      <c r="CP94" s="149"/>
      <c r="CQ94" s="149"/>
      <c r="CR94" s="149"/>
    </row>
    <row r="95" spans="1:96">
      <c r="A95" s="149"/>
      <c r="B95" s="149"/>
      <c r="C95" s="149"/>
      <c r="D95" s="8">
        <v>50</v>
      </c>
      <c r="E95" s="173" t="s">
        <v>417</v>
      </c>
      <c r="F95" s="189" t="s">
        <v>418</v>
      </c>
      <c r="G95" s="24">
        <v>89.337886641112149</v>
      </c>
      <c r="H95" s="24">
        <v>12.447541349076456</v>
      </c>
      <c r="I95" s="24">
        <v>89.395855356781766</v>
      </c>
      <c r="J95" s="24">
        <v>12.407388999298574</v>
      </c>
      <c r="K95" s="77">
        <v>11340948</v>
      </c>
      <c r="L95" s="9">
        <v>13</v>
      </c>
      <c r="M95" s="67">
        <v>89.493399999999994</v>
      </c>
      <c r="N95" s="67">
        <v>88.979100000000003</v>
      </c>
      <c r="O95" s="201">
        <f t="shared" ca="1" si="11"/>
        <v>348</v>
      </c>
      <c r="P95" s="206">
        <v>46587</v>
      </c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  <c r="AH95" s="149"/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  <c r="BI95" s="149"/>
      <c r="BJ95" s="149"/>
      <c r="BK95" s="149"/>
      <c r="BL95" s="149"/>
      <c r="BM95" s="149"/>
      <c r="BN95" s="149"/>
      <c r="BO95" s="149"/>
      <c r="BP95" s="149"/>
      <c r="BQ95" s="149"/>
      <c r="BR95" s="149"/>
      <c r="BS95" s="149"/>
      <c r="BT95" s="149"/>
      <c r="BU95" s="149"/>
      <c r="BV95" s="149"/>
      <c r="BW95" s="149"/>
      <c r="BX95" s="149"/>
      <c r="BY95" s="149"/>
      <c r="BZ95" s="149"/>
      <c r="CA95" s="149"/>
      <c r="CB95" s="149"/>
      <c r="CC95" s="149"/>
      <c r="CD95" s="149"/>
      <c r="CE95" s="149"/>
      <c r="CF95" s="149"/>
      <c r="CG95" s="149"/>
      <c r="CH95" s="149"/>
      <c r="CI95" s="149"/>
      <c r="CJ95" s="149"/>
      <c r="CK95" s="149"/>
      <c r="CL95" s="149"/>
      <c r="CM95" s="149"/>
      <c r="CN95" s="149"/>
      <c r="CO95" s="149"/>
      <c r="CP95" s="149"/>
      <c r="CQ95" s="149"/>
      <c r="CR95" s="149"/>
    </row>
    <row r="96" spans="1:96">
      <c r="A96" s="149"/>
      <c r="B96" s="149"/>
      <c r="C96" s="149"/>
      <c r="D96" s="8">
        <v>51</v>
      </c>
      <c r="E96" s="173" t="s">
        <v>419</v>
      </c>
      <c r="F96" s="189" t="s">
        <v>420</v>
      </c>
      <c r="G96" s="24">
        <v>88.986662760095214</v>
      </c>
      <c r="H96" s="24">
        <v>12.654512052840778</v>
      </c>
      <c r="I96" s="24">
        <v>89.042504250363578</v>
      </c>
      <c r="J96" s="24">
        <v>12.617896937105447</v>
      </c>
      <c r="K96" s="77">
        <v>9247661</v>
      </c>
      <c r="L96" s="9">
        <v>11</v>
      </c>
      <c r="M96" s="67">
        <v>100</v>
      </c>
      <c r="N96" s="67">
        <v>88.531400000000005</v>
      </c>
      <c r="O96" s="201">
        <v>357</v>
      </c>
      <c r="P96" s="206">
        <v>46594</v>
      </c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49"/>
      <c r="AD96" s="149"/>
      <c r="AE96" s="149"/>
      <c r="AF96" s="149"/>
      <c r="AG96" s="149"/>
      <c r="AH96" s="149"/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  <c r="BI96" s="149"/>
      <c r="BJ96" s="149"/>
      <c r="BK96" s="149"/>
      <c r="BL96" s="149"/>
      <c r="BM96" s="149"/>
      <c r="BN96" s="149"/>
      <c r="BO96" s="149"/>
      <c r="BP96" s="149"/>
      <c r="BQ96" s="149"/>
      <c r="BR96" s="149"/>
      <c r="BS96" s="149"/>
      <c r="BT96" s="149"/>
      <c r="BU96" s="149"/>
      <c r="BV96" s="149"/>
      <c r="BW96" s="149"/>
      <c r="BX96" s="149"/>
      <c r="BY96" s="149"/>
      <c r="BZ96" s="149"/>
      <c r="CA96" s="149"/>
      <c r="CB96" s="149"/>
      <c r="CC96" s="149"/>
      <c r="CD96" s="149"/>
      <c r="CE96" s="149"/>
      <c r="CF96" s="149"/>
      <c r="CG96" s="149"/>
      <c r="CH96" s="149"/>
      <c r="CI96" s="149"/>
      <c r="CJ96" s="149"/>
      <c r="CK96" s="149"/>
      <c r="CL96" s="149"/>
      <c r="CM96" s="149"/>
      <c r="CN96" s="149"/>
      <c r="CO96" s="149"/>
      <c r="CP96" s="149"/>
      <c r="CQ96" s="149"/>
      <c r="CR96" s="149"/>
    </row>
    <row r="97" spans="1:96">
      <c r="A97" s="149"/>
      <c r="B97" s="149"/>
      <c r="C97" s="149"/>
      <c r="D97" s="8">
        <v>52</v>
      </c>
      <c r="E97" s="173" t="s">
        <v>421</v>
      </c>
      <c r="F97" s="189" t="s">
        <v>422</v>
      </c>
      <c r="G97" s="24">
        <v>88.631935836685557</v>
      </c>
      <c r="H97" s="24">
        <v>12.861482756605097</v>
      </c>
      <c r="I97" s="24">
        <v>88.685567069841028</v>
      </c>
      <c r="J97" s="24">
        <v>12.828404874912323</v>
      </c>
      <c r="K97" s="77">
        <v>120981659</v>
      </c>
      <c r="L97" s="9">
        <v>33</v>
      </c>
      <c r="M97" s="67"/>
      <c r="N97" s="67"/>
      <c r="O97" s="201">
        <f t="shared" ref="O97" ca="1" si="12">P97-TODAY()</f>
        <v>362</v>
      </c>
      <c r="P97" s="206">
        <v>46601</v>
      </c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  <c r="AC97" s="149"/>
      <c r="AD97" s="149"/>
      <c r="AE97" s="149"/>
      <c r="AF97" s="149"/>
      <c r="AG97" s="149"/>
      <c r="AH97" s="149"/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  <c r="BI97" s="149"/>
      <c r="BJ97" s="149"/>
      <c r="BK97" s="149"/>
      <c r="BL97" s="149"/>
      <c r="BM97" s="149"/>
      <c r="BN97" s="149"/>
      <c r="BO97" s="149"/>
      <c r="BP97" s="149"/>
      <c r="BQ97" s="149"/>
      <c r="BR97" s="149"/>
      <c r="BS97" s="149"/>
      <c r="BT97" s="149"/>
      <c r="BU97" s="149"/>
      <c r="BV97" s="149"/>
      <c r="BW97" s="149"/>
      <c r="BX97" s="149"/>
      <c r="BY97" s="149"/>
      <c r="BZ97" s="149"/>
      <c r="CA97" s="149"/>
      <c r="CB97" s="149"/>
      <c r="CC97" s="149"/>
      <c r="CD97" s="149"/>
      <c r="CE97" s="149"/>
      <c r="CF97" s="149"/>
      <c r="CG97" s="149"/>
      <c r="CH97" s="149"/>
      <c r="CI97" s="149"/>
      <c r="CJ97" s="149"/>
      <c r="CK97" s="149"/>
      <c r="CL97" s="149"/>
      <c r="CM97" s="149"/>
      <c r="CN97" s="149"/>
      <c r="CO97" s="149"/>
      <c r="CP97" s="149"/>
      <c r="CQ97" s="149"/>
      <c r="CR97" s="149"/>
    </row>
    <row r="98" spans="1:96">
      <c r="A98" s="149"/>
      <c r="B98" s="149"/>
      <c r="C98" s="149"/>
      <c r="D98" s="149"/>
      <c r="E98" s="55" t="s">
        <v>39</v>
      </c>
      <c r="F98" s="55"/>
      <c r="G98" s="56"/>
      <c r="H98" s="56"/>
      <c r="I98" s="144"/>
      <c r="J98" s="144"/>
      <c r="K98" s="61">
        <f>SUM(K5:K97)</f>
        <v>671783699</v>
      </c>
      <c r="L98" s="61">
        <f>SUM(L5:L97)</f>
        <v>2576</v>
      </c>
      <c r="M98" s="211"/>
      <c r="N98" s="211"/>
      <c r="O98" s="187"/>
      <c r="P98" s="179"/>
      <c r="Q98" s="149"/>
      <c r="R98" s="149"/>
      <c r="S98" s="151"/>
      <c r="T98" s="149"/>
      <c r="U98" s="149"/>
      <c r="V98" s="149"/>
      <c r="W98" s="149"/>
      <c r="X98" s="149"/>
      <c r="Y98" s="149"/>
      <c r="Z98" s="149"/>
      <c r="AA98" s="149"/>
      <c r="AB98" s="149"/>
      <c r="AC98" s="149"/>
      <c r="AD98" s="149"/>
      <c r="AE98" s="149"/>
      <c r="AF98" s="149"/>
      <c r="AG98" s="149"/>
      <c r="AH98" s="149"/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  <c r="BI98" s="149"/>
      <c r="BJ98" s="149"/>
      <c r="BK98" s="149"/>
      <c r="BL98" s="149"/>
      <c r="BM98" s="149"/>
      <c r="BN98" s="149"/>
      <c r="BO98" s="149"/>
      <c r="BP98" s="149"/>
      <c r="BQ98" s="149"/>
      <c r="BR98" s="149"/>
      <c r="BS98" s="149"/>
      <c r="BT98" s="149"/>
      <c r="BU98" s="149"/>
      <c r="BV98" s="149"/>
      <c r="BW98" s="149"/>
      <c r="BX98" s="149"/>
      <c r="BY98" s="149"/>
      <c r="BZ98" s="149"/>
      <c r="CA98" s="149"/>
      <c r="CB98" s="149"/>
      <c r="CC98" s="149"/>
      <c r="CD98" s="149"/>
      <c r="CE98" s="149"/>
      <c r="CF98" s="149"/>
      <c r="CG98" s="149"/>
      <c r="CH98" s="149"/>
      <c r="CI98" s="149"/>
      <c r="CJ98" s="149"/>
      <c r="CK98" s="149"/>
      <c r="CL98" s="149"/>
      <c r="CM98" s="149"/>
      <c r="CN98" s="149"/>
      <c r="CO98" s="149"/>
      <c r="CP98" s="149"/>
      <c r="CQ98" s="149"/>
      <c r="CR98" s="149"/>
    </row>
    <row r="99" spans="1:96">
      <c r="A99" s="2" t="s">
        <v>41</v>
      </c>
      <c r="B99" s="2"/>
      <c r="C99" s="2"/>
      <c r="D99" s="2"/>
      <c r="E99" s="41" t="s">
        <v>40</v>
      </c>
      <c r="F99" s="157"/>
      <c r="G99" s="212"/>
      <c r="H99" s="212"/>
      <c r="K99" s="62"/>
      <c r="M99" s="158"/>
      <c r="N99" s="158"/>
      <c r="O99" s="149"/>
      <c r="P99" s="149"/>
      <c r="Q99" s="149"/>
      <c r="R99" s="149"/>
      <c r="S99" s="151"/>
      <c r="T99" s="149"/>
      <c r="U99" s="149"/>
      <c r="V99" s="149"/>
      <c r="W99" s="149"/>
      <c r="X99" s="149"/>
      <c r="Y99" s="149"/>
      <c r="Z99" s="149"/>
      <c r="AA99" s="149"/>
      <c r="AB99" s="149"/>
      <c r="AC99" s="149"/>
      <c r="AD99" s="149"/>
      <c r="AE99" s="149"/>
      <c r="AF99" s="149"/>
      <c r="AG99" s="149"/>
      <c r="AH99" s="149"/>
      <c r="AI99" s="149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149"/>
      <c r="BH99" s="149"/>
      <c r="BI99" s="149"/>
      <c r="BJ99" s="149"/>
      <c r="BK99" s="149"/>
      <c r="BL99" s="149"/>
      <c r="BM99" s="149"/>
      <c r="BN99" s="149"/>
      <c r="BO99" s="149"/>
      <c r="BP99" s="149"/>
      <c r="BQ99" s="149"/>
      <c r="BR99" s="149"/>
      <c r="BS99" s="149"/>
      <c r="BT99" s="149"/>
      <c r="BU99" s="149"/>
      <c r="BV99" s="149"/>
      <c r="BW99" s="149"/>
      <c r="BX99" s="149"/>
      <c r="BY99" s="149"/>
      <c r="BZ99" s="149"/>
      <c r="CA99" s="149"/>
      <c r="CB99" s="149"/>
      <c r="CC99" s="149"/>
      <c r="CD99" s="149"/>
      <c r="CE99" s="149"/>
      <c r="CF99" s="149"/>
      <c r="CG99" s="149"/>
      <c r="CH99" s="149"/>
      <c r="CI99" s="149"/>
      <c r="CJ99" s="149"/>
      <c r="CK99" s="149"/>
      <c r="CL99" s="149"/>
      <c r="CM99" s="149"/>
      <c r="CN99" s="149"/>
      <c r="CO99" s="149"/>
      <c r="CP99" s="149"/>
      <c r="CQ99" s="149"/>
      <c r="CR99" s="149"/>
    </row>
    <row r="100" spans="1:96">
      <c r="A100" s="157" t="s">
        <v>42</v>
      </c>
      <c r="B100" s="157"/>
      <c r="C100" s="157"/>
      <c r="D100" s="157"/>
      <c r="E100" s="157"/>
      <c r="F100" s="157"/>
      <c r="G100" s="212"/>
      <c r="H100" s="212"/>
      <c r="I100" s="158"/>
      <c r="J100" s="158"/>
      <c r="K100" s="62"/>
      <c r="M100" s="158"/>
      <c r="N100" s="158"/>
      <c r="O100" s="159"/>
      <c r="P100" s="149"/>
      <c r="Q100" s="160">
        <v>43997</v>
      </c>
      <c r="R100" s="149"/>
      <c r="S100" s="151"/>
      <c r="T100" s="149"/>
      <c r="U100" s="149"/>
      <c r="V100" s="149"/>
      <c r="W100" s="149"/>
      <c r="X100" s="149"/>
      <c r="Y100" s="149"/>
      <c r="Z100" s="149"/>
      <c r="AA100" s="149"/>
      <c r="AB100" s="149"/>
      <c r="AC100" s="149"/>
      <c r="AD100" s="149"/>
      <c r="AE100" s="149"/>
      <c r="AF100" s="149"/>
      <c r="AG100" s="149"/>
      <c r="AH100" s="149"/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49"/>
      <c r="BF100" s="149"/>
      <c r="BG100" s="149"/>
      <c r="BH100" s="149"/>
      <c r="BI100" s="149"/>
      <c r="BJ100" s="149"/>
      <c r="BK100" s="149"/>
      <c r="BL100" s="149"/>
      <c r="BM100" s="149"/>
      <c r="BN100" s="149"/>
      <c r="BO100" s="149"/>
      <c r="BP100" s="149"/>
      <c r="BQ100" s="149"/>
      <c r="BR100" s="149"/>
      <c r="BS100" s="149"/>
      <c r="BT100" s="149"/>
      <c r="BU100" s="149"/>
      <c r="BV100" s="149"/>
      <c r="BW100" s="149"/>
      <c r="BX100" s="149"/>
      <c r="BY100" s="149"/>
      <c r="BZ100" s="149"/>
      <c r="CA100" s="149"/>
      <c r="CB100" s="149"/>
      <c r="CC100" s="149"/>
      <c r="CD100" s="149"/>
      <c r="CE100" s="149"/>
      <c r="CF100" s="149"/>
      <c r="CG100" s="149"/>
      <c r="CH100" s="149"/>
      <c r="CI100" s="149"/>
      <c r="CJ100" s="149"/>
      <c r="CK100" s="149"/>
      <c r="CL100" s="149"/>
      <c r="CM100" s="149"/>
      <c r="CN100" s="149"/>
      <c r="CO100" s="149"/>
      <c r="CP100" s="149"/>
      <c r="CQ100" s="149"/>
      <c r="CR100" s="149"/>
    </row>
    <row r="101" spans="1:96">
      <c r="A101" s="157" t="s">
        <v>423</v>
      </c>
      <c r="B101" s="157"/>
      <c r="C101" s="157"/>
      <c r="D101" s="157"/>
      <c r="E101" s="278"/>
      <c r="F101" s="278"/>
      <c r="G101" s="212"/>
      <c r="H101" s="212"/>
      <c r="I101" s="158"/>
      <c r="J101" s="158"/>
      <c r="K101" s="62"/>
      <c r="M101" s="158"/>
      <c r="N101" s="158"/>
      <c r="O101" s="159"/>
      <c r="P101" s="149"/>
      <c r="Q101" s="160">
        <v>44025</v>
      </c>
      <c r="R101" s="149"/>
      <c r="S101" s="151"/>
      <c r="T101" s="149"/>
      <c r="U101" s="149"/>
      <c r="V101" s="149"/>
      <c r="W101" s="149"/>
      <c r="X101" s="149"/>
      <c r="Y101" s="149"/>
      <c r="Z101" s="149"/>
      <c r="AA101" s="149"/>
      <c r="AB101" s="149"/>
      <c r="AC101" s="149"/>
      <c r="AD101" s="149"/>
      <c r="AE101" s="149"/>
      <c r="AF101" s="149"/>
      <c r="AG101" s="149"/>
      <c r="AH101" s="149"/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  <c r="BI101" s="149"/>
      <c r="BJ101" s="149"/>
      <c r="BK101" s="149"/>
      <c r="BL101" s="149"/>
      <c r="BM101" s="149"/>
      <c r="BN101" s="149"/>
      <c r="BO101" s="149"/>
      <c r="BP101" s="149"/>
      <c r="BQ101" s="149"/>
      <c r="BR101" s="149"/>
      <c r="BS101" s="149"/>
      <c r="BT101" s="149"/>
      <c r="BU101" s="149"/>
      <c r="BV101" s="149"/>
      <c r="BW101" s="149"/>
      <c r="BX101" s="149"/>
      <c r="BY101" s="149"/>
      <c r="BZ101" s="149"/>
      <c r="CA101" s="149"/>
      <c r="CB101" s="149"/>
      <c r="CC101" s="149"/>
      <c r="CD101" s="149"/>
      <c r="CE101" s="149"/>
      <c r="CF101" s="149"/>
      <c r="CG101" s="149"/>
      <c r="CH101" s="149"/>
      <c r="CI101" s="149"/>
      <c r="CJ101" s="149"/>
      <c r="CK101" s="149"/>
      <c r="CL101" s="149"/>
      <c r="CM101" s="149"/>
      <c r="CN101" s="149"/>
      <c r="CO101" s="149"/>
      <c r="CP101" s="149"/>
      <c r="CQ101" s="149"/>
      <c r="CR101" s="149"/>
    </row>
    <row r="102" spans="1:96">
      <c r="A102" s="157"/>
      <c r="B102" s="157"/>
      <c r="C102" s="157"/>
      <c r="D102" s="157"/>
      <c r="E102" s="157"/>
      <c r="F102" s="157"/>
      <c r="G102" s="212"/>
      <c r="H102" s="212"/>
      <c r="I102" s="158"/>
      <c r="J102" s="158"/>
      <c r="K102" s="62"/>
      <c r="M102" s="158"/>
      <c r="N102" s="158"/>
      <c r="O102" s="159"/>
      <c r="P102" s="149"/>
      <c r="Q102" s="160">
        <v>44165</v>
      </c>
      <c r="R102" s="149"/>
      <c r="S102" s="151"/>
      <c r="T102" s="149"/>
      <c r="U102" s="149"/>
      <c r="V102" s="149"/>
      <c r="W102" s="149"/>
      <c r="X102" s="149"/>
      <c r="Y102" s="149"/>
      <c r="Z102" s="149"/>
      <c r="AA102" s="149"/>
      <c r="AB102" s="149"/>
      <c r="AC102" s="149"/>
      <c r="AD102" s="149"/>
      <c r="AE102" s="149"/>
      <c r="AF102" s="149"/>
      <c r="AG102" s="149"/>
      <c r="AH102" s="149"/>
      <c r="AI102" s="149"/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  <c r="BA102" s="149"/>
      <c r="BB102" s="149"/>
      <c r="BC102" s="149"/>
      <c r="BD102" s="149"/>
      <c r="BE102" s="149"/>
      <c r="BF102" s="149"/>
      <c r="BG102" s="149"/>
      <c r="BH102" s="149"/>
      <c r="BI102" s="149"/>
      <c r="BJ102" s="149"/>
      <c r="BK102" s="149"/>
      <c r="BL102" s="149"/>
      <c r="BM102" s="149"/>
      <c r="BN102" s="149"/>
      <c r="BO102" s="149"/>
      <c r="BP102" s="149"/>
      <c r="BQ102" s="149"/>
      <c r="BR102" s="149"/>
      <c r="BS102" s="149"/>
      <c r="BT102" s="149"/>
      <c r="BU102" s="149"/>
      <c r="BV102" s="149"/>
      <c r="BW102" s="149"/>
      <c r="BX102" s="149"/>
      <c r="BY102" s="149"/>
      <c r="BZ102" s="149"/>
      <c r="CA102" s="149"/>
      <c r="CB102" s="149"/>
      <c r="CC102" s="149"/>
      <c r="CD102" s="149"/>
      <c r="CE102" s="149"/>
      <c r="CF102" s="149"/>
      <c r="CG102" s="149"/>
      <c r="CH102" s="149"/>
      <c r="CI102" s="149"/>
      <c r="CJ102" s="149"/>
      <c r="CK102" s="149"/>
      <c r="CL102" s="149"/>
      <c r="CM102" s="149"/>
      <c r="CN102" s="149"/>
      <c r="CO102" s="149"/>
      <c r="CP102" s="149"/>
      <c r="CQ102" s="149"/>
      <c r="CR102" s="149"/>
    </row>
    <row r="103" spans="1:96">
      <c r="A103" s="157"/>
      <c r="B103" s="157"/>
      <c r="C103" s="157"/>
      <c r="D103" s="157"/>
      <c r="E103" s="157"/>
      <c r="F103" s="157"/>
      <c r="G103" s="212"/>
      <c r="H103" s="212"/>
      <c r="I103" s="158"/>
      <c r="J103" s="158"/>
      <c r="K103" s="62"/>
      <c r="M103" s="158"/>
      <c r="N103" s="158"/>
      <c r="O103" s="159"/>
      <c r="P103" s="149"/>
      <c r="Q103" s="160">
        <v>44179</v>
      </c>
      <c r="R103" s="149"/>
      <c r="S103" s="151"/>
      <c r="T103" s="149"/>
      <c r="U103" s="149"/>
      <c r="V103" s="149"/>
      <c r="W103" s="149"/>
      <c r="X103" s="149"/>
      <c r="Y103" s="149"/>
      <c r="Z103" s="149"/>
      <c r="AA103" s="149"/>
      <c r="AB103" s="149"/>
      <c r="AC103" s="149"/>
      <c r="AD103" s="149"/>
      <c r="AE103" s="149"/>
      <c r="AF103" s="149"/>
      <c r="AG103" s="149"/>
      <c r="AH103" s="149"/>
      <c r="AI103" s="149"/>
      <c r="AJ103" s="149"/>
      <c r="AK103" s="149"/>
      <c r="AL103" s="149"/>
      <c r="AM103" s="149"/>
      <c r="AN103" s="149"/>
      <c r="AO103" s="149"/>
      <c r="AP103" s="149"/>
      <c r="AQ103" s="149"/>
      <c r="AR103" s="149"/>
      <c r="AS103" s="149"/>
      <c r="AT103" s="149"/>
      <c r="AU103" s="149"/>
      <c r="AV103" s="149"/>
      <c r="AW103" s="149"/>
      <c r="AX103" s="149"/>
      <c r="AY103" s="149"/>
      <c r="AZ103" s="149"/>
      <c r="BA103" s="149"/>
      <c r="BB103" s="149"/>
      <c r="BC103" s="149"/>
      <c r="BD103" s="149"/>
      <c r="BE103" s="149"/>
      <c r="BF103" s="149"/>
      <c r="BG103" s="149"/>
      <c r="BH103" s="149"/>
      <c r="BI103" s="149"/>
      <c r="BJ103" s="149"/>
      <c r="BK103" s="149"/>
      <c r="BL103" s="149"/>
      <c r="BM103" s="149"/>
      <c r="BN103" s="149"/>
      <c r="BO103" s="149"/>
      <c r="BP103" s="149"/>
      <c r="BQ103" s="149"/>
      <c r="BR103" s="149"/>
      <c r="BS103" s="149"/>
      <c r="BT103" s="149"/>
      <c r="BU103" s="149"/>
      <c r="BV103" s="149"/>
      <c r="BW103" s="149"/>
      <c r="BX103" s="149"/>
      <c r="BY103" s="149"/>
      <c r="BZ103" s="149"/>
      <c r="CA103" s="149"/>
      <c r="CB103" s="149"/>
      <c r="CC103" s="149"/>
      <c r="CD103" s="149"/>
      <c r="CE103" s="149"/>
      <c r="CF103" s="149"/>
      <c r="CG103" s="149"/>
      <c r="CH103" s="149"/>
      <c r="CI103" s="149"/>
      <c r="CJ103" s="149"/>
      <c r="CK103" s="149"/>
      <c r="CL103" s="149"/>
      <c r="CM103" s="149"/>
      <c r="CN103" s="149"/>
      <c r="CO103" s="149"/>
      <c r="CP103" s="149"/>
      <c r="CQ103" s="149"/>
      <c r="CR103" s="149"/>
    </row>
    <row r="104" spans="1:96">
      <c r="A104" s="157"/>
      <c r="B104" s="157"/>
      <c r="C104" s="157"/>
      <c r="D104" s="157"/>
      <c r="E104" s="149"/>
      <c r="F104" s="149"/>
      <c r="G104" s="212"/>
      <c r="H104" s="212"/>
      <c r="K104" s="62"/>
      <c r="M104" s="158"/>
      <c r="N104" s="158"/>
      <c r="O104" s="149"/>
      <c r="P104" s="149"/>
      <c r="Q104" s="149"/>
      <c r="R104" s="149"/>
      <c r="S104" s="151"/>
      <c r="T104" s="149"/>
      <c r="U104" s="149"/>
      <c r="V104" s="149"/>
      <c r="W104" s="149"/>
      <c r="X104" s="149"/>
      <c r="Y104" s="149"/>
      <c r="Z104" s="149"/>
      <c r="AA104" s="149"/>
      <c r="AB104" s="149"/>
      <c r="AC104" s="149"/>
      <c r="AD104" s="149"/>
      <c r="AE104" s="149"/>
      <c r="AF104" s="149"/>
      <c r="AG104" s="149"/>
      <c r="AH104" s="149"/>
      <c r="AI104" s="149"/>
      <c r="AJ104" s="149"/>
      <c r="AK104" s="149"/>
      <c r="AL104" s="149"/>
      <c r="AM104" s="149"/>
      <c r="AN104" s="149"/>
      <c r="AO104" s="149"/>
      <c r="AP104" s="149"/>
      <c r="AQ104" s="149"/>
      <c r="AR104" s="149"/>
      <c r="AS104" s="149"/>
      <c r="AT104" s="149"/>
      <c r="AU104" s="149"/>
      <c r="AV104" s="149"/>
      <c r="AW104" s="149"/>
      <c r="AX104" s="149"/>
      <c r="AY104" s="149"/>
      <c r="AZ104" s="149"/>
      <c r="BA104" s="149"/>
      <c r="BB104" s="149"/>
      <c r="BC104" s="149"/>
      <c r="BD104" s="149"/>
      <c r="BE104" s="149"/>
      <c r="BF104" s="149"/>
      <c r="BG104" s="149"/>
      <c r="BH104" s="149"/>
      <c r="BI104" s="149"/>
      <c r="BJ104" s="149"/>
      <c r="BK104" s="149"/>
      <c r="BL104" s="149"/>
      <c r="BM104" s="149"/>
      <c r="BN104" s="149"/>
      <c r="BO104" s="149"/>
      <c r="BP104" s="149"/>
      <c r="BQ104" s="149"/>
      <c r="BR104" s="149"/>
      <c r="BS104" s="149"/>
      <c r="BT104" s="149"/>
      <c r="BU104" s="149"/>
      <c r="BV104" s="149"/>
      <c r="BW104" s="149"/>
      <c r="BX104" s="149"/>
      <c r="BY104" s="149"/>
      <c r="BZ104" s="149"/>
      <c r="CA104" s="149"/>
      <c r="CB104" s="149"/>
      <c r="CC104" s="149"/>
      <c r="CD104" s="149"/>
      <c r="CE104" s="149"/>
      <c r="CF104" s="149"/>
      <c r="CG104" s="149"/>
      <c r="CH104" s="149"/>
      <c r="CI104" s="149"/>
      <c r="CJ104" s="149"/>
      <c r="CK104" s="149"/>
      <c r="CL104" s="149"/>
      <c r="CM104" s="149"/>
      <c r="CN104" s="149"/>
      <c r="CO104" s="149"/>
      <c r="CP104" s="149"/>
      <c r="CQ104" s="149"/>
      <c r="CR104" s="149"/>
    </row>
    <row r="105" spans="1:96">
      <c r="A105" s="149"/>
      <c r="B105" s="149"/>
      <c r="C105" s="149"/>
      <c r="D105" s="149"/>
      <c r="E105" s="149"/>
      <c r="F105" s="149"/>
      <c r="G105" s="212"/>
      <c r="H105" s="212"/>
      <c r="K105" s="62"/>
      <c r="M105" s="158"/>
      <c r="N105" s="158"/>
      <c r="O105" s="149"/>
      <c r="P105" s="149"/>
      <c r="Q105" s="149"/>
      <c r="R105" s="149"/>
      <c r="S105" s="151"/>
      <c r="T105" s="149"/>
      <c r="U105" s="149"/>
      <c r="V105" s="149"/>
      <c r="W105" s="149"/>
      <c r="X105" s="149"/>
      <c r="Y105" s="149"/>
      <c r="Z105" s="149"/>
      <c r="AA105" s="149"/>
      <c r="AB105" s="149"/>
      <c r="AC105" s="149"/>
      <c r="AD105" s="149"/>
      <c r="AE105" s="149"/>
      <c r="AF105" s="149"/>
      <c r="AG105" s="149"/>
      <c r="AH105" s="149"/>
      <c r="AI105" s="149"/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/>
      <c r="BF105" s="149"/>
      <c r="BG105" s="149"/>
      <c r="BH105" s="149"/>
      <c r="BI105" s="149"/>
      <c r="BJ105" s="149"/>
      <c r="BK105" s="149"/>
      <c r="BL105" s="149"/>
      <c r="BM105" s="149"/>
      <c r="BN105" s="149"/>
      <c r="BO105" s="149"/>
      <c r="BP105" s="149"/>
      <c r="BQ105" s="149"/>
      <c r="BR105" s="149"/>
      <c r="BS105" s="149"/>
      <c r="BT105" s="149"/>
      <c r="BU105" s="149"/>
      <c r="BV105" s="149"/>
      <c r="BW105" s="149"/>
      <c r="BX105" s="149"/>
      <c r="BY105" s="149"/>
      <c r="BZ105" s="149"/>
      <c r="CA105" s="149"/>
      <c r="CB105" s="149"/>
      <c r="CC105" s="149"/>
      <c r="CD105" s="149"/>
      <c r="CE105" s="149"/>
      <c r="CF105" s="149"/>
      <c r="CG105" s="149"/>
      <c r="CH105" s="149"/>
      <c r="CI105" s="149"/>
      <c r="CJ105" s="149"/>
      <c r="CK105" s="149"/>
      <c r="CL105" s="149"/>
      <c r="CM105" s="149"/>
      <c r="CN105" s="149"/>
      <c r="CO105" s="149"/>
      <c r="CP105" s="149"/>
      <c r="CQ105" s="149"/>
      <c r="CR105" s="149"/>
    </row>
    <row r="106" spans="1:96">
      <c r="A106" s="149"/>
      <c r="B106" s="149"/>
      <c r="C106" s="149"/>
      <c r="D106" s="149"/>
      <c r="E106" s="149"/>
      <c r="F106" s="149"/>
      <c r="G106" s="212"/>
      <c r="H106" s="212"/>
      <c r="K106" s="62"/>
      <c r="M106" s="158"/>
      <c r="N106" s="158"/>
      <c r="O106" s="149"/>
      <c r="P106" s="149"/>
      <c r="Q106" s="149"/>
      <c r="R106" s="149"/>
      <c r="S106" s="151"/>
      <c r="T106" s="149"/>
      <c r="U106" s="149"/>
      <c r="V106" s="149"/>
      <c r="W106" s="149"/>
      <c r="X106" s="149"/>
      <c r="Y106" s="149"/>
      <c r="Z106" s="149"/>
      <c r="AA106" s="149"/>
      <c r="AB106" s="149"/>
      <c r="AC106" s="149"/>
      <c r="AD106" s="149"/>
      <c r="AE106" s="149"/>
      <c r="AF106" s="149"/>
      <c r="AG106" s="149"/>
      <c r="AH106" s="149"/>
      <c r="AI106" s="149"/>
      <c r="AJ106" s="149"/>
      <c r="AK106" s="149"/>
      <c r="AL106" s="149"/>
      <c r="AM106" s="149"/>
      <c r="AN106" s="149"/>
      <c r="AO106" s="149"/>
      <c r="AP106" s="149"/>
      <c r="AQ106" s="149"/>
      <c r="AR106" s="149"/>
      <c r="AS106" s="149"/>
      <c r="AT106" s="149"/>
      <c r="AU106" s="149"/>
      <c r="AV106" s="149"/>
      <c r="AW106" s="149"/>
      <c r="AX106" s="149"/>
      <c r="AY106" s="149"/>
      <c r="AZ106" s="149"/>
      <c r="BA106" s="149"/>
      <c r="BB106" s="149"/>
      <c r="BC106" s="149"/>
      <c r="BD106" s="149"/>
      <c r="BE106" s="149"/>
      <c r="BF106" s="149"/>
      <c r="BG106" s="149"/>
      <c r="BH106" s="149"/>
      <c r="BI106" s="149"/>
      <c r="BJ106" s="149"/>
      <c r="BK106" s="149"/>
      <c r="BL106" s="149"/>
      <c r="BM106" s="149"/>
      <c r="BN106" s="149"/>
      <c r="BO106" s="149"/>
      <c r="BP106" s="149"/>
      <c r="BQ106" s="149"/>
      <c r="BR106" s="149"/>
      <c r="BS106" s="149"/>
      <c r="BT106" s="149"/>
      <c r="BU106" s="149"/>
      <c r="BV106" s="149"/>
      <c r="BW106" s="149"/>
      <c r="BX106" s="149"/>
      <c r="BY106" s="149"/>
      <c r="BZ106" s="149"/>
      <c r="CA106" s="149"/>
      <c r="CB106" s="149"/>
      <c r="CC106" s="149"/>
      <c r="CD106" s="149"/>
      <c r="CE106" s="149"/>
      <c r="CF106" s="149"/>
      <c r="CG106" s="149"/>
      <c r="CH106" s="149"/>
      <c r="CI106" s="149"/>
      <c r="CJ106" s="149"/>
      <c r="CK106" s="149"/>
      <c r="CL106" s="149"/>
      <c r="CM106" s="149"/>
      <c r="CN106" s="149"/>
      <c r="CO106" s="149"/>
      <c r="CP106" s="149"/>
      <c r="CQ106" s="149"/>
      <c r="CR106" s="149"/>
    </row>
    <row r="107" spans="1:96">
      <c r="A107" s="149"/>
      <c r="B107" s="149"/>
      <c r="C107" s="149"/>
      <c r="D107" s="149"/>
      <c r="E107" s="149"/>
      <c r="F107" s="149"/>
      <c r="G107" s="212"/>
      <c r="H107" s="212"/>
      <c r="K107" s="62"/>
      <c r="M107" s="158"/>
      <c r="N107" s="158"/>
      <c r="O107" s="149"/>
      <c r="P107" s="149"/>
      <c r="Q107" s="149"/>
      <c r="R107" s="149"/>
      <c r="S107" s="151"/>
      <c r="T107" s="149"/>
      <c r="U107" s="149"/>
      <c r="V107" s="149"/>
      <c r="W107" s="149"/>
      <c r="X107" s="149"/>
      <c r="Y107" s="149"/>
      <c r="Z107" s="149"/>
      <c r="AA107" s="149"/>
      <c r="AB107" s="149"/>
      <c r="AC107" s="149"/>
      <c r="AD107" s="149"/>
      <c r="AE107" s="149"/>
      <c r="AF107" s="149"/>
      <c r="AG107" s="149"/>
      <c r="AH107" s="149"/>
      <c r="AI107" s="149"/>
      <c r="AJ107" s="149"/>
      <c r="AK107" s="149"/>
      <c r="AL107" s="149"/>
      <c r="AM107" s="149"/>
      <c r="AN107" s="149"/>
      <c r="AO107" s="149"/>
      <c r="AP107" s="149"/>
      <c r="AQ107" s="149"/>
      <c r="AR107" s="149"/>
      <c r="AS107" s="149"/>
      <c r="AT107" s="149"/>
      <c r="AU107" s="149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49"/>
      <c r="BF107" s="149"/>
      <c r="BG107" s="149"/>
      <c r="BH107" s="149"/>
      <c r="BI107" s="149"/>
      <c r="BJ107" s="149"/>
      <c r="BK107" s="149"/>
      <c r="BL107" s="149"/>
      <c r="BM107" s="149"/>
      <c r="BN107" s="149"/>
      <c r="BO107" s="149"/>
      <c r="BP107" s="149"/>
      <c r="BQ107" s="149"/>
      <c r="BR107" s="149"/>
      <c r="BS107" s="149"/>
      <c r="BT107" s="149"/>
      <c r="BU107" s="149"/>
      <c r="BV107" s="149"/>
      <c r="BW107" s="149"/>
      <c r="BX107" s="149"/>
      <c r="BY107" s="149"/>
      <c r="BZ107" s="149"/>
      <c r="CA107" s="149"/>
      <c r="CB107" s="149"/>
      <c r="CC107" s="149"/>
      <c r="CD107" s="149"/>
      <c r="CE107" s="149"/>
      <c r="CF107" s="149"/>
      <c r="CG107" s="149"/>
      <c r="CH107" s="149"/>
      <c r="CI107" s="149"/>
      <c r="CJ107" s="149"/>
      <c r="CK107" s="149"/>
      <c r="CL107" s="149"/>
      <c r="CM107" s="149"/>
      <c r="CN107" s="149"/>
      <c r="CO107" s="149"/>
      <c r="CP107" s="149"/>
      <c r="CQ107" s="149"/>
      <c r="CR107" s="149"/>
    </row>
    <row r="108" spans="1:96">
      <c r="A108" s="149"/>
      <c r="B108" s="149"/>
      <c r="C108" s="149"/>
      <c r="D108" s="149"/>
      <c r="E108" s="149"/>
      <c r="F108" s="149"/>
      <c r="G108" s="212"/>
      <c r="H108" s="212"/>
      <c r="K108" s="62"/>
      <c r="M108" s="158"/>
      <c r="N108" s="158"/>
      <c r="O108" s="149"/>
      <c r="P108" s="149"/>
      <c r="Q108" s="149"/>
      <c r="R108" s="149"/>
      <c r="S108" s="151"/>
      <c r="T108" s="149"/>
      <c r="U108" s="149"/>
      <c r="V108" s="149"/>
      <c r="W108" s="149"/>
      <c r="X108" s="149"/>
      <c r="Y108" s="149"/>
      <c r="Z108" s="149"/>
      <c r="AA108" s="149"/>
      <c r="AB108" s="149"/>
      <c r="AC108" s="149"/>
      <c r="AD108" s="149"/>
      <c r="AE108" s="149"/>
      <c r="AF108" s="149"/>
      <c r="AG108" s="149"/>
      <c r="AH108" s="149"/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149"/>
      <c r="BH108" s="149"/>
      <c r="BI108" s="149"/>
      <c r="BJ108" s="149"/>
      <c r="BK108" s="149"/>
      <c r="BL108" s="149"/>
      <c r="BM108" s="149"/>
      <c r="BN108" s="149"/>
      <c r="BO108" s="149"/>
      <c r="BP108" s="149"/>
      <c r="BQ108" s="149"/>
      <c r="BR108" s="149"/>
      <c r="BS108" s="149"/>
      <c r="BT108" s="149"/>
      <c r="BU108" s="149"/>
      <c r="BV108" s="149"/>
      <c r="BW108" s="149"/>
      <c r="BX108" s="149"/>
      <c r="BY108" s="149"/>
      <c r="BZ108" s="149"/>
      <c r="CA108" s="149"/>
      <c r="CB108" s="149"/>
      <c r="CC108" s="149"/>
      <c r="CD108" s="149"/>
      <c r="CE108" s="149"/>
      <c r="CF108" s="149"/>
      <c r="CG108" s="149"/>
      <c r="CH108" s="149"/>
      <c r="CI108" s="149"/>
      <c r="CJ108" s="149"/>
      <c r="CK108" s="149"/>
      <c r="CL108" s="149"/>
      <c r="CM108" s="149"/>
      <c r="CN108" s="149"/>
      <c r="CO108" s="149"/>
      <c r="CP108" s="149"/>
      <c r="CQ108" s="149"/>
      <c r="CR108" s="149"/>
    </row>
    <row r="109" spans="1:96">
      <c r="A109" s="149"/>
      <c r="B109" s="149"/>
      <c r="C109" s="149"/>
      <c r="D109" s="149"/>
      <c r="E109" s="149"/>
      <c r="F109" s="149"/>
      <c r="G109" s="212"/>
      <c r="H109" s="212"/>
      <c r="K109" s="62"/>
      <c r="M109" s="158"/>
      <c r="N109" s="158"/>
      <c r="O109" s="149"/>
      <c r="P109" s="149"/>
      <c r="Q109" s="149"/>
      <c r="R109" s="149"/>
      <c r="S109" s="151"/>
      <c r="T109" s="149"/>
      <c r="U109" s="149"/>
      <c r="V109" s="149"/>
      <c r="W109" s="149"/>
      <c r="X109" s="149"/>
      <c r="Y109" s="149"/>
      <c r="Z109" s="149"/>
      <c r="AA109" s="149"/>
      <c r="AB109" s="149"/>
      <c r="AC109" s="149"/>
      <c r="AD109" s="149"/>
      <c r="AE109" s="149"/>
      <c r="AF109" s="149"/>
      <c r="AG109" s="149"/>
      <c r="AH109" s="149"/>
      <c r="AI109" s="149"/>
      <c r="AJ109" s="149"/>
      <c r="AK109" s="149"/>
      <c r="AL109" s="149"/>
      <c r="AM109" s="149"/>
      <c r="AN109" s="149"/>
      <c r="AO109" s="149"/>
      <c r="AP109" s="149"/>
      <c r="AQ109" s="149"/>
      <c r="AR109" s="149"/>
      <c r="AS109" s="149"/>
      <c r="AT109" s="149"/>
      <c r="AU109" s="149"/>
      <c r="AV109" s="149"/>
      <c r="AW109" s="149"/>
      <c r="AX109" s="149"/>
      <c r="AY109" s="149"/>
      <c r="AZ109" s="149"/>
      <c r="BA109" s="149"/>
      <c r="BB109" s="149"/>
      <c r="BC109" s="149"/>
      <c r="BD109" s="149"/>
      <c r="BE109" s="149"/>
      <c r="BF109" s="149"/>
      <c r="BG109" s="149"/>
      <c r="BH109" s="149"/>
      <c r="BI109" s="149"/>
      <c r="BJ109" s="149"/>
      <c r="BK109" s="149"/>
      <c r="BL109" s="149"/>
      <c r="BM109" s="149"/>
      <c r="BN109" s="149"/>
      <c r="BO109" s="149"/>
      <c r="BP109" s="149"/>
      <c r="BQ109" s="149"/>
      <c r="BR109" s="149"/>
      <c r="BS109" s="149"/>
      <c r="BT109" s="149"/>
      <c r="BU109" s="149"/>
      <c r="BV109" s="149"/>
      <c r="BW109" s="149"/>
      <c r="BX109" s="149"/>
      <c r="BY109" s="149"/>
      <c r="BZ109" s="149"/>
      <c r="CA109" s="149"/>
      <c r="CB109" s="149"/>
      <c r="CC109" s="149"/>
      <c r="CD109" s="149"/>
      <c r="CE109" s="149"/>
      <c r="CF109" s="149"/>
      <c r="CG109" s="149"/>
      <c r="CH109" s="149"/>
      <c r="CI109" s="149"/>
      <c r="CJ109" s="149"/>
      <c r="CK109" s="149"/>
      <c r="CL109" s="149"/>
      <c r="CM109" s="149"/>
      <c r="CN109" s="149"/>
      <c r="CO109" s="149"/>
      <c r="CP109" s="149"/>
      <c r="CQ109" s="149"/>
      <c r="CR109" s="149"/>
    </row>
    <row r="110" spans="1:96">
      <c r="A110" s="149"/>
      <c r="B110" s="149"/>
      <c r="C110" s="149"/>
      <c r="D110" s="149"/>
      <c r="E110" s="149"/>
      <c r="F110" s="149"/>
      <c r="G110" s="212"/>
      <c r="H110" s="212"/>
      <c r="K110" s="62"/>
      <c r="M110" s="158"/>
      <c r="N110" s="158"/>
      <c r="O110" s="149"/>
      <c r="P110" s="149"/>
      <c r="Q110" s="149"/>
      <c r="R110" s="149"/>
      <c r="S110" s="151"/>
      <c r="T110" s="149"/>
      <c r="U110" s="149"/>
      <c r="V110" s="149"/>
      <c r="W110" s="149"/>
      <c r="X110" s="149"/>
      <c r="Y110" s="149"/>
      <c r="Z110" s="149"/>
      <c r="AA110" s="149"/>
      <c r="AB110" s="149"/>
      <c r="AC110" s="149"/>
      <c r="AD110" s="149"/>
      <c r="AE110" s="149"/>
      <c r="AF110" s="149"/>
      <c r="AG110" s="149"/>
      <c r="AH110" s="149"/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149"/>
      <c r="BH110" s="149"/>
      <c r="BI110" s="149"/>
      <c r="BJ110" s="149"/>
      <c r="BK110" s="149"/>
      <c r="BL110" s="149"/>
      <c r="BM110" s="149"/>
      <c r="BN110" s="149"/>
      <c r="BO110" s="149"/>
      <c r="BP110" s="149"/>
      <c r="BQ110" s="149"/>
      <c r="BR110" s="149"/>
      <c r="BS110" s="149"/>
      <c r="BT110" s="149"/>
      <c r="BU110" s="149"/>
      <c r="BV110" s="149"/>
      <c r="BW110" s="149"/>
      <c r="BX110" s="149"/>
      <c r="BY110" s="149"/>
      <c r="BZ110" s="149"/>
      <c r="CA110" s="149"/>
      <c r="CB110" s="149"/>
      <c r="CC110" s="149"/>
      <c r="CD110" s="149"/>
      <c r="CE110" s="149"/>
      <c r="CF110" s="149"/>
      <c r="CG110" s="149"/>
      <c r="CH110" s="149"/>
      <c r="CI110" s="149"/>
      <c r="CJ110" s="149"/>
      <c r="CK110" s="149"/>
      <c r="CL110" s="149"/>
      <c r="CM110" s="149"/>
      <c r="CN110" s="149"/>
      <c r="CO110" s="149"/>
      <c r="CP110" s="149"/>
      <c r="CQ110" s="149"/>
      <c r="CR110" s="149"/>
    </row>
    <row r="111" spans="1:96">
      <c r="A111" s="149"/>
      <c r="B111" s="149"/>
      <c r="C111" s="149"/>
      <c r="D111" s="149"/>
      <c r="E111" s="149"/>
      <c r="F111" s="149"/>
      <c r="G111" s="212"/>
      <c r="H111" s="212"/>
      <c r="K111" s="62"/>
      <c r="M111" s="158"/>
      <c r="N111" s="158"/>
      <c r="O111" s="149"/>
      <c r="P111" s="149"/>
      <c r="Q111" s="149"/>
      <c r="R111" s="149"/>
      <c r="S111" s="151"/>
      <c r="T111" s="149"/>
      <c r="U111" s="149"/>
      <c r="V111" s="149"/>
      <c r="W111" s="149"/>
      <c r="X111" s="149"/>
      <c r="Y111" s="149"/>
      <c r="Z111" s="149"/>
      <c r="AA111" s="149"/>
      <c r="AB111" s="149"/>
      <c r="AC111" s="149"/>
      <c r="AD111" s="149"/>
      <c r="AE111" s="149"/>
      <c r="AF111" s="149"/>
      <c r="AG111" s="149"/>
      <c r="AH111" s="149"/>
      <c r="AI111" s="149"/>
      <c r="AJ111" s="149"/>
      <c r="AK111" s="149"/>
      <c r="AL111" s="149"/>
      <c r="AM111" s="149"/>
      <c r="AN111" s="149"/>
      <c r="AO111" s="149"/>
      <c r="AP111" s="149"/>
      <c r="AQ111" s="149"/>
      <c r="AR111" s="149"/>
      <c r="AS111" s="149"/>
      <c r="AT111" s="149"/>
      <c r="AU111" s="149"/>
      <c r="AV111" s="149"/>
      <c r="AW111" s="149"/>
      <c r="AX111" s="149"/>
      <c r="AY111" s="149"/>
      <c r="AZ111" s="149"/>
      <c r="BA111" s="149"/>
      <c r="BB111" s="149"/>
      <c r="BC111" s="149"/>
      <c r="BD111" s="149"/>
      <c r="BE111" s="149"/>
      <c r="BF111" s="149"/>
      <c r="BG111" s="149"/>
      <c r="BH111" s="149"/>
      <c r="BI111" s="149"/>
      <c r="BJ111" s="149"/>
      <c r="BK111" s="149"/>
      <c r="BL111" s="149"/>
      <c r="BM111" s="149"/>
      <c r="BN111" s="149"/>
      <c r="BO111" s="149"/>
      <c r="BP111" s="149"/>
      <c r="BQ111" s="149"/>
      <c r="BR111" s="149"/>
      <c r="BS111" s="149"/>
      <c r="BT111" s="149"/>
      <c r="BU111" s="149"/>
      <c r="BV111" s="149"/>
      <c r="BW111" s="149"/>
      <c r="BX111" s="149"/>
      <c r="BY111" s="149"/>
      <c r="BZ111" s="149"/>
      <c r="CA111" s="149"/>
      <c r="CB111" s="149"/>
      <c r="CC111" s="149"/>
      <c r="CD111" s="149"/>
      <c r="CE111" s="149"/>
      <c r="CF111" s="149"/>
      <c r="CG111" s="149"/>
      <c r="CH111" s="149"/>
      <c r="CI111" s="149"/>
      <c r="CJ111" s="149"/>
      <c r="CK111" s="149"/>
      <c r="CL111" s="149"/>
      <c r="CM111" s="149"/>
      <c r="CN111" s="149"/>
      <c r="CO111" s="149"/>
      <c r="CP111" s="149"/>
      <c r="CQ111" s="149"/>
      <c r="CR111" s="149"/>
    </row>
    <row r="112" spans="1:96">
      <c r="A112" s="149"/>
      <c r="B112" s="149"/>
      <c r="C112" s="149"/>
      <c r="D112" s="149"/>
      <c r="E112" s="149"/>
      <c r="F112" s="149"/>
      <c r="G112" s="212"/>
      <c r="H112" s="212"/>
      <c r="K112" s="62"/>
      <c r="M112" s="158"/>
      <c r="N112" s="158"/>
      <c r="O112" s="149"/>
      <c r="P112" s="149"/>
      <c r="Q112" s="149"/>
      <c r="R112" s="149"/>
      <c r="S112" s="151"/>
      <c r="T112" s="149"/>
      <c r="U112" s="149"/>
      <c r="V112" s="149"/>
      <c r="W112" s="149"/>
      <c r="X112" s="149"/>
      <c r="Y112" s="149"/>
      <c r="Z112" s="149"/>
      <c r="AA112" s="149"/>
      <c r="AB112" s="149"/>
      <c r="AC112" s="149"/>
      <c r="AD112" s="149"/>
      <c r="AE112" s="149"/>
      <c r="AF112" s="149"/>
      <c r="AG112" s="149"/>
      <c r="AH112" s="149"/>
      <c r="AI112" s="149"/>
      <c r="AJ112" s="149"/>
      <c r="AK112" s="149"/>
      <c r="AL112" s="149"/>
      <c r="AM112" s="149"/>
      <c r="AN112" s="149"/>
      <c r="AO112" s="149"/>
      <c r="AP112" s="149"/>
      <c r="AQ112" s="149"/>
      <c r="AR112" s="149"/>
      <c r="AS112" s="149"/>
      <c r="AT112" s="149"/>
      <c r="AU112" s="149"/>
      <c r="AV112" s="149"/>
      <c r="AW112" s="149"/>
      <c r="AX112" s="149"/>
      <c r="AY112" s="149"/>
      <c r="AZ112" s="149"/>
      <c r="BA112" s="149"/>
      <c r="BB112" s="149"/>
      <c r="BC112" s="149"/>
      <c r="BD112" s="149"/>
      <c r="BE112" s="149"/>
      <c r="BF112" s="149"/>
      <c r="BG112" s="149"/>
      <c r="BH112" s="149"/>
      <c r="BI112" s="149"/>
      <c r="BJ112" s="149"/>
      <c r="BK112" s="149"/>
      <c r="BL112" s="149"/>
      <c r="BM112" s="149"/>
      <c r="BN112" s="149"/>
      <c r="BO112" s="149"/>
      <c r="BP112" s="149"/>
      <c r="BQ112" s="149"/>
      <c r="BR112" s="149"/>
      <c r="BS112" s="149"/>
      <c r="BT112" s="149"/>
      <c r="BU112" s="149"/>
      <c r="BV112" s="149"/>
      <c r="BW112" s="149"/>
      <c r="BX112" s="149"/>
      <c r="BY112" s="149"/>
      <c r="BZ112" s="149"/>
      <c r="CA112" s="149"/>
      <c r="CB112" s="149"/>
      <c r="CC112" s="149"/>
      <c r="CD112" s="149"/>
      <c r="CE112" s="149"/>
      <c r="CF112" s="149"/>
      <c r="CG112" s="149"/>
      <c r="CH112" s="149"/>
      <c r="CI112" s="149"/>
      <c r="CJ112" s="149"/>
      <c r="CK112" s="149"/>
      <c r="CL112" s="149"/>
      <c r="CM112" s="149"/>
      <c r="CN112" s="149"/>
      <c r="CO112" s="149"/>
      <c r="CP112" s="149"/>
      <c r="CQ112" s="149"/>
      <c r="CR112" s="149"/>
    </row>
    <row r="113" spans="1:96">
      <c r="A113" s="149"/>
      <c r="B113" s="149"/>
      <c r="C113" s="149"/>
      <c r="D113" s="149"/>
      <c r="E113" s="149"/>
      <c r="F113" s="149"/>
      <c r="G113" s="212"/>
      <c r="H113" s="212"/>
      <c r="K113" s="62"/>
      <c r="M113" s="158"/>
      <c r="N113" s="158"/>
      <c r="O113" s="149"/>
      <c r="P113" s="149"/>
      <c r="Q113" s="149"/>
      <c r="R113" s="149"/>
      <c r="S113" s="151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49"/>
      <c r="AD113" s="149"/>
      <c r="AE113" s="149"/>
      <c r="AF113" s="149"/>
      <c r="AG113" s="149"/>
      <c r="AH113" s="149"/>
      <c r="AI113" s="149"/>
      <c r="AJ113" s="149"/>
      <c r="AK113" s="149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  <c r="BG113" s="149"/>
      <c r="BH113" s="149"/>
      <c r="BI113" s="149"/>
      <c r="BJ113" s="149"/>
      <c r="BK113" s="149"/>
      <c r="BL113" s="149"/>
      <c r="BM113" s="149"/>
      <c r="BN113" s="149"/>
      <c r="BO113" s="149"/>
      <c r="BP113" s="149"/>
      <c r="BQ113" s="149"/>
      <c r="BR113" s="149"/>
      <c r="BS113" s="149"/>
      <c r="BT113" s="149"/>
      <c r="BU113" s="149"/>
      <c r="BV113" s="149"/>
      <c r="BW113" s="149"/>
      <c r="BX113" s="149"/>
      <c r="BY113" s="149"/>
      <c r="BZ113" s="149"/>
      <c r="CA113" s="149"/>
      <c r="CB113" s="149"/>
      <c r="CC113" s="149"/>
      <c r="CD113" s="149"/>
      <c r="CE113" s="149"/>
      <c r="CF113" s="149"/>
      <c r="CG113" s="149"/>
      <c r="CH113" s="149"/>
      <c r="CI113" s="149"/>
      <c r="CJ113" s="149"/>
      <c r="CK113" s="149"/>
      <c r="CL113" s="149"/>
      <c r="CM113" s="149"/>
      <c r="CN113" s="149"/>
      <c r="CO113" s="149"/>
      <c r="CP113" s="149"/>
      <c r="CQ113" s="149"/>
      <c r="CR113" s="149"/>
    </row>
    <row r="114" spans="1:96">
      <c r="A114" s="149"/>
      <c r="B114" s="149"/>
      <c r="C114" s="149"/>
      <c r="D114" s="149"/>
      <c r="E114" s="149"/>
      <c r="F114" s="149"/>
      <c r="G114" s="212"/>
      <c r="H114" s="212"/>
      <c r="K114" s="62"/>
      <c r="M114" s="158"/>
      <c r="N114" s="158"/>
      <c r="O114" s="149"/>
      <c r="P114" s="149"/>
      <c r="Q114" s="149"/>
      <c r="R114" s="149"/>
      <c r="S114" s="151"/>
      <c r="T114" s="149"/>
      <c r="U114" s="149"/>
      <c r="V114" s="149"/>
      <c r="W114" s="149"/>
      <c r="X114" s="149"/>
      <c r="Y114" s="149"/>
      <c r="Z114" s="149"/>
      <c r="AA114" s="149"/>
      <c r="AB114" s="149"/>
      <c r="AC114" s="149"/>
      <c r="AD114" s="149"/>
      <c r="AE114" s="149"/>
      <c r="AF114" s="149"/>
      <c r="AG114" s="149"/>
      <c r="AH114" s="149"/>
      <c r="AI114" s="149"/>
      <c r="AJ114" s="149"/>
      <c r="AK114" s="149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  <c r="BG114" s="149"/>
      <c r="BH114" s="149"/>
      <c r="BI114" s="149"/>
      <c r="BJ114" s="149"/>
      <c r="BK114" s="149"/>
      <c r="BL114" s="149"/>
      <c r="BM114" s="149"/>
      <c r="BN114" s="149"/>
      <c r="BO114" s="149"/>
      <c r="BP114" s="149"/>
      <c r="BQ114" s="149"/>
      <c r="BR114" s="149"/>
      <c r="BS114" s="149"/>
      <c r="BT114" s="149"/>
      <c r="BU114" s="149"/>
      <c r="BV114" s="149"/>
      <c r="BW114" s="149"/>
      <c r="BX114" s="149"/>
      <c r="BY114" s="149"/>
      <c r="BZ114" s="149"/>
      <c r="CA114" s="149"/>
      <c r="CB114" s="149"/>
      <c r="CC114" s="149"/>
      <c r="CD114" s="149"/>
      <c r="CE114" s="149"/>
      <c r="CF114" s="149"/>
      <c r="CG114" s="149"/>
      <c r="CH114" s="149"/>
      <c r="CI114" s="149"/>
      <c r="CJ114" s="149"/>
      <c r="CK114" s="149"/>
      <c r="CL114" s="149"/>
      <c r="CM114" s="149"/>
      <c r="CN114" s="149"/>
      <c r="CO114" s="149"/>
      <c r="CP114" s="149"/>
      <c r="CQ114" s="149"/>
      <c r="CR114" s="149"/>
    </row>
    <row r="115" spans="1:96">
      <c r="A115" s="149"/>
      <c r="B115" s="149"/>
      <c r="C115" s="149"/>
      <c r="D115" s="149"/>
      <c r="E115" s="149"/>
      <c r="F115" s="149"/>
      <c r="G115" s="212"/>
      <c r="H115" s="212"/>
      <c r="K115" s="62"/>
      <c r="M115" s="158"/>
      <c r="N115" s="158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  <c r="AK115" s="149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  <c r="BG115" s="149"/>
      <c r="BH115" s="149"/>
      <c r="BI115" s="149"/>
      <c r="BJ115" s="149"/>
      <c r="BK115" s="149"/>
      <c r="BL115" s="149"/>
      <c r="BM115" s="149"/>
      <c r="BN115" s="149"/>
      <c r="BO115" s="149"/>
      <c r="BP115" s="149"/>
      <c r="BQ115" s="149"/>
      <c r="BR115" s="149"/>
      <c r="BS115" s="149"/>
      <c r="BT115" s="149"/>
      <c r="BU115" s="149"/>
      <c r="BV115" s="149"/>
      <c r="BW115" s="149"/>
      <c r="BX115" s="149"/>
      <c r="BY115" s="149"/>
      <c r="BZ115" s="149"/>
      <c r="CA115" s="149"/>
      <c r="CB115" s="149"/>
      <c r="CC115" s="149"/>
      <c r="CD115" s="149"/>
      <c r="CE115" s="149"/>
      <c r="CF115" s="149"/>
      <c r="CG115" s="149"/>
      <c r="CH115" s="149"/>
      <c r="CI115" s="149"/>
      <c r="CJ115" s="149"/>
      <c r="CK115" s="149"/>
      <c r="CL115" s="149"/>
      <c r="CM115" s="149"/>
      <c r="CN115" s="149"/>
      <c r="CO115" s="149"/>
      <c r="CP115" s="149"/>
      <c r="CQ115" s="149"/>
      <c r="CR115" s="149"/>
    </row>
    <row r="116" spans="1:96">
      <c r="A116" s="149"/>
      <c r="B116" s="149"/>
      <c r="C116" s="149"/>
      <c r="D116" s="149"/>
      <c r="E116" s="149"/>
      <c r="F116" s="149"/>
      <c r="G116" s="212"/>
      <c r="H116" s="212"/>
      <c r="K116" s="62"/>
      <c r="M116" s="158"/>
      <c r="N116" s="158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  <c r="AC116" s="149"/>
      <c r="AD116" s="149"/>
      <c r="AE116" s="149"/>
      <c r="AF116" s="149"/>
      <c r="AG116" s="149"/>
      <c r="AH116" s="149"/>
      <c r="AI116" s="149"/>
      <c r="AJ116" s="149"/>
      <c r="AK116" s="149"/>
      <c r="AL116" s="149"/>
      <c r="AM116" s="149"/>
      <c r="AN116" s="149"/>
      <c r="AO116" s="149"/>
      <c r="AP116" s="149"/>
      <c r="AQ116" s="149"/>
      <c r="AR116" s="149"/>
      <c r="AS116" s="149"/>
      <c r="AT116" s="149"/>
      <c r="AU116" s="149"/>
      <c r="AV116" s="149"/>
      <c r="AW116" s="149"/>
      <c r="AX116" s="149"/>
      <c r="AY116" s="149"/>
      <c r="AZ116" s="149"/>
      <c r="BA116" s="149"/>
      <c r="BB116" s="149"/>
      <c r="BC116" s="149"/>
      <c r="BD116" s="149"/>
      <c r="BE116" s="149"/>
      <c r="BF116" s="149"/>
      <c r="BG116" s="149"/>
      <c r="BH116" s="149"/>
      <c r="BI116" s="149"/>
      <c r="BJ116" s="149"/>
      <c r="BK116" s="149"/>
      <c r="BL116" s="149"/>
      <c r="BM116" s="149"/>
      <c r="BN116" s="149"/>
      <c r="BO116" s="149"/>
      <c r="BP116" s="149"/>
      <c r="BQ116" s="149"/>
      <c r="BR116" s="149"/>
      <c r="BS116" s="149"/>
      <c r="BT116" s="149"/>
      <c r="BU116" s="149"/>
      <c r="BV116" s="149"/>
      <c r="BW116" s="149"/>
      <c r="BX116" s="149"/>
      <c r="BY116" s="149"/>
      <c r="BZ116" s="149"/>
      <c r="CA116" s="149"/>
      <c r="CB116" s="149"/>
      <c r="CC116" s="149"/>
      <c r="CD116" s="149"/>
      <c r="CE116" s="149"/>
      <c r="CF116" s="149"/>
      <c r="CG116" s="149"/>
      <c r="CH116" s="149"/>
      <c r="CI116" s="149"/>
      <c r="CJ116" s="149"/>
      <c r="CK116" s="149"/>
      <c r="CL116" s="149"/>
      <c r="CM116" s="149"/>
      <c r="CN116" s="149"/>
      <c r="CO116" s="149"/>
      <c r="CP116" s="149"/>
      <c r="CQ116" s="149"/>
      <c r="CR116" s="149"/>
    </row>
    <row r="117" spans="1:96">
      <c r="A117" s="149"/>
      <c r="B117" s="149"/>
      <c r="C117" s="149"/>
      <c r="D117" s="149"/>
      <c r="E117" s="149"/>
      <c r="F117" s="149"/>
      <c r="G117" s="212"/>
      <c r="H117" s="212"/>
      <c r="K117" s="62"/>
      <c r="M117" s="158"/>
      <c r="N117" s="158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  <c r="AC117" s="149"/>
      <c r="AD117" s="149"/>
      <c r="AE117" s="149"/>
      <c r="AF117" s="149"/>
      <c r="AG117" s="149"/>
      <c r="AH117" s="149"/>
      <c r="AI117" s="149"/>
      <c r="AJ117" s="149"/>
      <c r="AK117" s="149"/>
      <c r="AL117" s="149"/>
      <c r="AM117" s="149"/>
      <c r="AN117" s="149"/>
      <c r="AO117" s="149"/>
      <c r="AP117" s="149"/>
      <c r="AQ117" s="149"/>
      <c r="AR117" s="149"/>
      <c r="AS117" s="149"/>
      <c r="AT117" s="149"/>
      <c r="AU117" s="149"/>
      <c r="AV117" s="149"/>
      <c r="AW117" s="149"/>
      <c r="AX117" s="149"/>
      <c r="AY117" s="149"/>
      <c r="AZ117" s="149"/>
      <c r="BA117" s="149"/>
      <c r="BB117" s="149"/>
      <c r="BC117" s="149"/>
      <c r="BD117" s="149"/>
      <c r="BE117" s="149"/>
      <c r="BF117" s="149"/>
      <c r="BG117" s="149"/>
      <c r="BH117" s="149"/>
      <c r="BI117" s="149"/>
      <c r="BJ117" s="149"/>
      <c r="BK117" s="149"/>
      <c r="BL117" s="149"/>
      <c r="BM117" s="149"/>
      <c r="BN117" s="149"/>
      <c r="BO117" s="149"/>
      <c r="BP117" s="149"/>
      <c r="BQ117" s="149"/>
      <c r="BR117" s="149"/>
      <c r="BS117" s="149"/>
      <c r="BT117" s="149"/>
      <c r="BU117" s="149"/>
      <c r="BV117" s="149"/>
      <c r="BW117" s="149"/>
      <c r="BX117" s="149"/>
      <c r="BY117" s="149"/>
      <c r="BZ117" s="149"/>
      <c r="CA117" s="149"/>
      <c r="CB117" s="149"/>
      <c r="CC117" s="149"/>
      <c r="CD117" s="149"/>
      <c r="CE117" s="149"/>
      <c r="CF117" s="149"/>
      <c r="CG117" s="149"/>
      <c r="CH117" s="149"/>
      <c r="CI117" s="149"/>
      <c r="CJ117" s="149"/>
      <c r="CK117" s="149"/>
      <c r="CL117" s="149"/>
      <c r="CM117" s="149"/>
      <c r="CN117" s="149"/>
      <c r="CO117" s="149"/>
      <c r="CP117" s="149"/>
      <c r="CQ117" s="149"/>
      <c r="CR117" s="149"/>
    </row>
    <row r="118" spans="1:96">
      <c r="A118" s="149"/>
      <c r="B118" s="149"/>
      <c r="C118" s="149"/>
      <c r="D118" s="149"/>
      <c r="E118" s="149"/>
      <c r="F118" s="149"/>
      <c r="G118" s="212"/>
      <c r="H118" s="212"/>
      <c r="K118" s="62"/>
      <c r="M118" s="158"/>
      <c r="N118" s="158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  <c r="AC118" s="149"/>
      <c r="AD118" s="149"/>
      <c r="AE118" s="149"/>
      <c r="AF118" s="149"/>
      <c r="AG118" s="149"/>
      <c r="AH118" s="149"/>
      <c r="AI118" s="149"/>
      <c r="AJ118" s="149"/>
      <c r="AK118" s="149"/>
      <c r="AL118" s="149"/>
      <c r="AM118" s="149"/>
      <c r="AN118" s="149"/>
      <c r="AO118" s="149"/>
      <c r="AP118" s="149"/>
      <c r="AQ118" s="149"/>
      <c r="AR118" s="149"/>
      <c r="AS118" s="149"/>
      <c r="AT118" s="149"/>
      <c r="AU118" s="149"/>
      <c r="AV118" s="149"/>
      <c r="AW118" s="149"/>
      <c r="AX118" s="149"/>
      <c r="AY118" s="149"/>
      <c r="AZ118" s="149"/>
      <c r="BA118" s="149"/>
      <c r="BB118" s="149"/>
      <c r="BC118" s="149"/>
      <c r="BD118" s="149"/>
      <c r="BE118" s="149"/>
      <c r="BF118" s="149"/>
      <c r="BG118" s="149"/>
      <c r="BH118" s="149"/>
      <c r="BI118" s="149"/>
      <c r="BJ118" s="149"/>
      <c r="BK118" s="149"/>
      <c r="BL118" s="149"/>
      <c r="BM118" s="149"/>
      <c r="BN118" s="149"/>
      <c r="BO118" s="149"/>
      <c r="BP118" s="149"/>
      <c r="BQ118" s="149"/>
      <c r="BR118" s="149"/>
      <c r="BS118" s="149"/>
      <c r="BT118" s="149"/>
      <c r="BU118" s="149"/>
      <c r="BV118" s="149"/>
      <c r="BW118" s="149"/>
      <c r="BX118" s="149"/>
      <c r="BY118" s="149"/>
      <c r="BZ118" s="149"/>
      <c r="CA118" s="149"/>
      <c r="CB118" s="149"/>
      <c r="CC118" s="149"/>
      <c r="CD118" s="149"/>
      <c r="CE118" s="149"/>
      <c r="CF118" s="149"/>
      <c r="CG118" s="149"/>
      <c r="CH118" s="149"/>
      <c r="CI118" s="149"/>
      <c r="CJ118" s="149"/>
      <c r="CK118" s="149"/>
      <c r="CL118" s="149"/>
      <c r="CM118" s="149"/>
      <c r="CN118" s="149"/>
      <c r="CO118" s="149"/>
      <c r="CP118" s="149"/>
      <c r="CQ118" s="149"/>
      <c r="CR118" s="149"/>
    </row>
    <row r="119" spans="1:96">
      <c r="A119" s="149"/>
      <c r="B119" s="149"/>
      <c r="C119" s="149"/>
      <c r="D119" s="149"/>
      <c r="E119" s="149"/>
      <c r="F119" s="149"/>
      <c r="G119" s="212"/>
      <c r="H119" s="212"/>
      <c r="K119" s="62"/>
      <c r="M119" s="158"/>
      <c r="N119" s="158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  <c r="AC119" s="149"/>
      <c r="AD119" s="149"/>
      <c r="AE119" s="149"/>
      <c r="AF119" s="149"/>
      <c r="AG119" s="149"/>
      <c r="AH119" s="149"/>
      <c r="AI119" s="149"/>
      <c r="AJ119" s="149"/>
      <c r="AK119" s="149"/>
      <c r="AL119" s="149"/>
      <c r="AM119" s="149"/>
      <c r="AN119" s="149"/>
      <c r="AO119" s="149"/>
      <c r="AP119" s="149"/>
      <c r="AQ119" s="149"/>
      <c r="AR119" s="149"/>
      <c r="AS119" s="149"/>
      <c r="AT119" s="149"/>
      <c r="AU119" s="149"/>
      <c r="AV119" s="149"/>
      <c r="AW119" s="149"/>
      <c r="AX119" s="149"/>
      <c r="AY119" s="149"/>
      <c r="AZ119" s="149"/>
      <c r="BA119" s="149"/>
      <c r="BB119" s="149"/>
      <c r="BC119" s="149"/>
      <c r="BD119" s="149"/>
      <c r="BE119" s="149"/>
      <c r="BF119" s="149"/>
      <c r="BG119" s="149"/>
      <c r="BH119" s="149"/>
      <c r="BI119" s="149"/>
      <c r="BJ119" s="149"/>
      <c r="BK119" s="149"/>
      <c r="BL119" s="149"/>
      <c r="BM119" s="149"/>
      <c r="BN119" s="149"/>
      <c r="BO119" s="149"/>
      <c r="BP119" s="149"/>
      <c r="BQ119" s="149"/>
      <c r="BR119" s="149"/>
      <c r="BS119" s="149"/>
      <c r="BT119" s="149"/>
      <c r="BU119" s="149"/>
      <c r="BV119" s="149"/>
      <c r="BW119" s="149"/>
      <c r="BX119" s="149"/>
      <c r="BY119" s="149"/>
      <c r="BZ119" s="149"/>
      <c r="CA119" s="149"/>
      <c r="CB119" s="149"/>
      <c r="CC119" s="149"/>
      <c r="CD119" s="149"/>
      <c r="CE119" s="149"/>
      <c r="CF119" s="149"/>
      <c r="CG119" s="149"/>
      <c r="CH119" s="149"/>
      <c r="CI119" s="149"/>
      <c r="CJ119" s="149"/>
      <c r="CK119" s="149"/>
      <c r="CL119" s="149"/>
      <c r="CM119" s="149"/>
      <c r="CN119" s="149"/>
      <c r="CO119" s="149"/>
      <c r="CP119" s="149"/>
      <c r="CQ119" s="149"/>
      <c r="CR119" s="149"/>
    </row>
    <row r="120" spans="1:96">
      <c r="A120" s="149"/>
      <c r="B120" s="149"/>
      <c r="C120" s="149"/>
      <c r="D120" s="149"/>
      <c r="E120" s="149"/>
      <c r="F120" s="149"/>
      <c r="G120" s="212"/>
      <c r="H120" s="212"/>
      <c r="K120" s="62"/>
      <c r="M120" s="158"/>
      <c r="N120" s="158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  <c r="AC120" s="149"/>
      <c r="AD120" s="149"/>
      <c r="AE120" s="149"/>
      <c r="AF120" s="149"/>
      <c r="AG120" s="149"/>
      <c r="AH120" s="149"/>
      <c r="AI120" s="149"/>
      <c r="AJ120" s="149"/>
      <c r="AK120" s="149"/>
      <c r="AL120" s="149"/>
      <c r="AM120" s="149"/>
      <c r="AN120" s="149"/>
      <c r="AO120" s="149"/>
      <c r="AP120" s="149"/>
      <c r="AQ120" s="149"/>
      <c r="AR120" s="149"/>
      <c r="AS120" s="149"/>
      <c r="AT120" s="149"/>
      <c r="AU120" s="149"/>
      <c r="AV120" s="149"/>
      <c r="AW120" s="149"/>
      <c r="AX120" s="149"/>
      <c r="AY120" s="149"/>
      <c r="AZ120" s="149"/>
      <c r="BA120" s="149"/>
      <c r="BB120" s="149"/>
      <c r="BC120" s="149"/>
      <c r="BD120" s="149"/>
      <c r="BE120" s="149"/>
      <c r="BF120" s="149"/>
      <c r="BG120" s="149"/>
      <c r="BH120" s="149"/>
      <c r="BI120" s="149"/>
      <c r="BJ120" s="149"/>
      <c r="BK120" s="149"/>
      <c r="BL120" s="149"/>
      <c r="BM120" s="149"/>
      <c r="BN120" s="149"/>
      <c r="BO120" s="149"/>
      <c r="BP120" s="149"/>
      <c r="BQ120" s="149"/>
      <c r="BR120" s="149"/>
      <c r="BS120" s="149"/>
      <c r="BT120" s="149"/>
      <c r="BU120" s="149"/>
      <c r="BV120" s="149"/>
      <c r="BW120" s="149"/>
      <c r="BX120" s="149"/>
      <c r="BY120" s="149"/>
      <c r="BZ120" s="149"/>
      <c r="CA120" s="149"/>
      <c r="CB120" s="149"/>
      <c r="CC120" s="149"/>
      <c r="CD120" s="149"/>
      <c r="CE120" s="149"/>
      <c r="CF120" s="149"/>
      <c r="CG120" s="149"/>
      <c r="CH120" s="149"/>
      <c r="CI120" s="149"/>
      <c r="CJ120" s="149"/>
      <c r="CK120" s="149"/>
      <c r="CL120" s="149"/>
      <c r="CM120" s="149"/>
      <c r="CN120" s="149"/>
      <c r="CO120" s="149"/>
      <c r="CP120" s="149"/>
      <c r="CQ120" s="149"/>
      <c r="CR120" s="149"/>
    </row>
    <row r="121" spans="1:96">
      <c r="A121" s="149"/>
      <c r="B121" s="149"/>
      <c r="C121" s="149"/>
      <c r="D121" s="149"/>
      <c r="E121" s="149"/>
      <c r="F121" s="149"/>
      <c r="G121" s="212"/>
      <c r="H121" s="212"/>
      <c r="K121" s="62"/>
      <c r="M121" s="158"/>
      <c r="N121" s="158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  <c r="AC121" s="149"/>
      <c r="AD121" s="149"/>
      <c r="AE121" s="149"/>
      <c r="AF121" s="149"/>
      <c r="AG121" s="149"/>
      <c r="AH121" s="149"/>
      <c r="AI121" s="149"/>
      <c r="AJ121" s="149"/>
      <c r="AK121" s="149"/>
      <c r="AL121" s="149"/>
      <c r="AM121" s="149"/>
      <c r="AN121" s="149"/>
      <c r="AO121" s="149"/>
      <c r="AP121" s="149"/>
      <c r="AQ121" s="149"/>
      <c r="AR121" s="149"/>
      <c r="AS121" s="149"/>
      <c r="AT121" s="149"/>
      <c r="AU121" s="149"/>
      <c r="AV121" s="149"/>
      <c r="AW121" s="149"/>
      <c r="AX121" s="149"/>
      <c r="AY121" s="149"/>
      <c r="AZ121" s="149"/>
      <c r="BA121" s="149"/>
      <c r="BB121" s="149"/>
      <c r="BC121" s="149"/>
      <c r="BD121" s="149"/>
      <c r="BE121" s="149"/>
      <c r="BF121" s="149"/>
      <c r="BG121" s="149"/>
      <c r="BH121" s="149"/>
      <c r="BI121" s="149"/>
      <c r="BJ121" s="149"/>
      <c r="BK121" s="149"/>
      <c r="BL121" s="149"/>
      <c r="BM121" s="149"/>
      <c r="BN121" s="149"/>
      <c r="BO121" s="149"/>
      <c r="BP121" s="149"/>
      <c r="BQ121" s="149"/>
      <c r="BR121" s="149"/>
      <c r="BS121" s="149"/>
      <c r="BT121" s="149"/>
      <c r="BU121" s="149"/>
      <c r="BV121" s="149"/>
      <c r="BW121" s="149"/>
      <c r="BX121" s="149"/>
      <c r="BY121" s="149"/>
      <c r="BZ121" s="149"/>
      <c r="CA121" s="149"/>
      <c r="CB121" s="149"/>
      <c r="CC121" s="149"/>
      <c r="CD121" s="149"/>
      <c r="CE121" s="149"/>
      <c r="CF121" s="149"/>
      <c r="CG121" s="149"/>
      <c r="CH121" s="149"/>
      <c r="CI121" s="149"/>
      <c r="CJ121" s="149"/>
      <c r="CK121" s="149"/>
      <c r="CL121" s="149"/>
      <c r="CM121" s="149"/>
      <c r="CN121" s="149"/>
      <c r="CO121" s="149"/>
      <c r="CP121" s="149"/>
      <c r="CQ121" s="149"/>
      <c r="CR121" s="149"/>
    </row>
    <row r="122" spans="1:96">
      <c r="A122" s="149"/>
      <c r="B122" s="149"/>
      <c r="C122" s="149"/>
      <c r="D122" s="149"/>
      <c r="E122" s="149"/>
      <c r="F122" s="149"/>
      <c r="G122" s="212"/>
      <c r="H122" s="212"/>
      <c r="K122" s="62"/>
      <c r="M122" s="158"/>
      <c r="N122" s="158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49"/>
      <c r="AD122" s="149"/>
      <c r="AE122" s="149"/>
      <c r="AF122" s="149"/>
      <c r="AG122" s="149"/>
      <c r="AH122" s="149"/>
      <c r="AI122" s="149"/>
      <c r="AJ122" s="149"/>
      <c r="AK122" s="149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  <c r="BG122" s="149"/>
      <c r="BH122" s="149"/>
      <c r="BI122" s="149"/>
      <c r="BJ122" s="149"/>
      <c r="BK122" s="149"/>
      <c r="BL122" s="149"/>
      <c r="BM122" s="149"/>
      <c r="BN122" s="149"/>
      <c r="BO122" s="149"/>
      <c r="BP122" s="149"/>
      <c r="BQ122" s="149"/>
      <c r="BR122" s="149"/>
      <c r="BS122" s="149"/>
      <c r="BT122" s="149"/>
      <c r="BU122" s="149"/>
      <c r="BV122" s="149"/>
      <c r="BW122" s="149"/>
      <c r="BX122" s="149"/>
      <c r="BY122" s="149"/>
      <c r="BZ122" s="149"/>
      <c r="CA122" s="149"/>
      <c r="CB122" s="149"/>
      <c r="CC122" s="149"/>
      <c r="CD122" s="149"/>
      <c r="CE122" s="149"/>
      <c r="CF122" s="149"/>
      <c r="CG122" s="149"/>
      <c r="CH122" s="149"/>
      <c r="CI122" s="149"/>
      <c r="CJ122" s="149"/>
      <c r="CK122" s="149"/>
      <c r="CL122" s="149"/>
      <c r="CM122" s="149"/>
      <c r="CN122" s="149"/>
      <c r="CO122" s="149"/>
      <c r="CP122" s="149"/>
      <c r="CQ122" s="149"/>
      <c r="CR122" s="149"/>
    </row>
    <row r="123" spans="1:96">
      <c r="A123" s="149"/>
      <c r="B123" s="149"/>
      <c r="C123" s="149"/>
      <c r="D123" s="149"/>
      <c r="E123" s="149"/>
      <c r="F123" s="149"/>
      <c r="G123" s="212"/>
      <c r="H123" s="212"/>
      <c r="K123" s="62"/>
      <c r="M123" s="158"/>
      <c r="N123" s="158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149"/>
      <c r="AD123" s="149"/>
      <c r="AE123" s="149"/>
      <c r="AF123" s="149"/>
      <c r="AG123" s="149"/>
      <c r="AH123" s="149"/>
      <c r="AI123" s="149"/>
      <c r="AJ123" s="149"/>
      <c r="AK123" s="149"/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  <c r="BA123" s="149"/>
      <c r="BB123" s="149"/>
      <c r="BC123" s="149"/>
      <c r="BD123" s="149"/>
      <c r="BE123" s="149"/>
      <c r="BF123" s="149"/>
      <c r="BG123" s="149"/>
      <c r="BH123" s="149"/>
      <c r="BI123" s="149"/>
      <c r="BJ123" s="149"/>
      <c r="BK123" s="149"/>
      <c r="BL123" s="149"/>
      <c r="BM123" s="149"/>
      <c r="BN123" s="149"/>
      <c r="BO123" s="149"/>
      <c r="BP123" s="149"/>
      <c r="BQ123" s="149"/>
      <c r="BR123" s="149"/>
      <c r="BS123" s="149"/>
      <c r="BT123" s="149"/>
      <c r="BU123" s="149"/>
      <c r="BV123" s="149"/>
      <c r="BW123" s="149"/>
      <c r="BX123" s="149"/>
      <c r="BY123" s="149"/>
      <c r="BZ123" s="149"/>
      <c r="CA123" s="149"/>
      <c r="CB123" s="149"/>
      <c r="CC123" s="149"/>
      <c r="CD123" s="149"/>
      <c r="CE123" s="149"/>
      <c r="CF123" s="149"/>
      <c r="CG123" s="149"/>
      <c r="CH123" s="149"/>
      <c r="CI123" s="149"/>
      <c r="CJ123" s="149"/>
      <c r="CK123" s="149"/>
      <c r="CL123" s="149"/>
      <c r="CM123" s="149"/>
      <c r="CN123" s="149"/>
      <c r="CO123" s="149"/>
      <c r="CP123" s="149"/>
      <c r="CQ123" s="149"/>
      <c r="CR123" s="149"/>
    </row>
    <row r="124" spans="1:96">
      <c r="A124" s="149"/>
      <c r="B124" s="149"/>
      <c r="C124" s="149"/>
      <c r="D124" s="149"/>
      <c r="E124" s="149"/>
      <c r="F124" s="149"/>
      <c r="G124" s="212"/>
      <c r="H124" s="212"/>
      <c r="K124" s="62"/>
      <c r="M124" s="158"/>
      <c r="N124" s="158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  <c r="AC124" s="149"/>
      <c r="AD124" s="149"/>
      <c r="AE124" s="149"/>
      <c r="AF124" s="149"/>
      <c r="AG124" s="149"/>
      <c r="AH124" s="149"/>
      <c r="AI124" s="149"/>
      <c r="AJ124" s="149"/>
      <c r="AK124" s="149"/>
      <c r="AL124" s="149"/>
      <c r="AM124" s="149"/>
      <c r="AN124" s="149"/>
      <c r="AO124" s="149"/>
      <c r="AP124" s="149"/>
      <c r="AQ124" s="149"/>
      <c r="AR124" s="149"/>
      <c r="AS124" s="149"/>
      <c r="AT124" s="149"/>
      <c r="AU124" s="149"/>
      <c r="AV124" s="149"/>
      <c r="AW124" s="149"/>
      <c r="AX124" s="149"/>
      <c r="AY124" s="149"/>
      <c r="AZ124" s="149"/>
      <c r="BA124" s="149"/>
      <c r="BB124" s="149"/>
      <c r="BC124" s="149"/>
      <c r="BD124" s="149"/>
      <c r="BE124" s="149"/>
      <c r="BF124" s="149"/>
      <c r="BG124" s="149"/>
      <c r="BH124" s="149"/>
      <c r="BI124" s="149"/>
      <c r="BJ124" s="149"/>
      <c r="BK124" s="149"/>
      <c r="BL124" s="149"/>
      <c r="BM124" s="149"/>
      <c r="BN124" s="149"/>
      <c r="BO124" s="149"/>
      <c r="BP124" s="149"/>
      <c r="BQ124" s="149"/>
      <c r="BR124" s="149"/>
      <c r="BS124" s="149"/>
      <c r="BT124" s="149"/>
      <c r="BU124" s="149"/>
      <c r="BV124" s="149"/>
      <c r="BW124" s="149"/>
      <c r="BX124" s="149"/>
      <c r="BY124" s="149"/>
      <c r="BZ124" s="149"/>
      <c r="CA124" s="149"/>
      <c r="CB124" s="149"/>
      <c r="CC124" s="149"/>
      <c r="CD124" s="149"/>
      <c r="CE124" s="149"/>
      <c r="CF124" s="149"/>
      <c r="CG124" s="149"/>
      <c r="CH124" s="149"/>
      <c r="CI124" s="149"/>
      <c r="CJ124" s="149"/>
      <c r="CK124" s="149"/>
      <c r="CL124" s="149"/>
      <c r="CM124" s="149"/>
      <c r="CN124" s="149"/>
      <c r="CO124" s="149"/>
      <c r="CP124" s="149"/>
      <c r="CQ124" s="149"/>
      <c r="CR124" s="149"/>
    </row>
    <row r="125" spans="1:96">
      <c r="A125" s="149"/>
      <c r="B125" s="149"/>
      <c r="C125" s="149"/>
      <c r="D125" s="149"/>
      <c r="E125" s="149"/>
      <c r="F125" s="149"/>
      <c r="G125" s="212"/>
      <c r="H125" s="212"/>
      <c r="K125" s="62"/>
      <c r="M125" s="158"/>
      <c r="N125" s="158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  <c r="AC125" s="149"/>
      <c r="AD125" s="149"/>
      <c r="AE125" s="149"/>
      <c r="AF125" s="149"/>
      <c r="AG125" s="149"/>
      <c r="AH125" s="149"/>
      <c r="AI125" s="149"/>
      <c r="AJ125" s="149"/>
      <c r="AK125" s="149"/>
      <c r="AL125" s="149"/>
      <c r="AM125" s="149"/>
      <c r="AN125" s="149"/>
      <c r="AO125" s="149"/>
      <c r="AP125" s="149"/>
      <c r="AQ125" s="149"/>
      <c r="AR125" s="149"/>
      <c r="AS125" s="149"/>
      <c r="AT125" s="149"/>
      <c r="AU125" s="149"/>
      <c r="AV125" s="149"/>
      <c r="AW125" s="149"/>
      <c r="AX125" s="149"/>
      <c r="AY125" s="149"/>
      <c r="AZ125" s="149"/>
      <c r="BA125" s="149"/>
      <c r="BB125" s="149"/>
      <c r="BC125" s="149"/>
      <c r="BD125" s="149"/>
      <c r="BE125" s="149"/>
      <c r="BF125" s="149"/>
      <c r="BG125" s="149"/>
      <c r="BH125" s="149"/>
      <c r="BI125" s="149"/>
      <c r="BJ125" s="149"/>
      <c r="BK125" s="149"/>
      <c r="BL125" s="149"/>
      <c r="BM125" s="149"/>
      <c r="BN125" s="149"/>
      <c r="BO125" s="149"/>
      <c r="BP125" s="149"/>
      <c r="BQ125" s="149"/>
      <c r="BR125" s="149"/>
      <c r="BS125" s="149"/>
      <c r="BT125" s="149"/>
      <c r="BU125" s="149"/>
      <c r="BV125" s="149"/>
      <c r="BW125" s="149"/>
      <c r="BX125" s="149"/>
      <c r="BY125" s="149"/>
      <c r="BZ125" s="149"/>
      <c r="CA125" s="149"/>
      <c r="CB125" s="149"/>
      <c r="CC125" s="149"/>
      <c r="CD125" s="149"/>
      <c r="CE125" s="149"/>
      <c r="CF125" s="149"/>
      <c r="CG125" s="149"/>
      <c r="CH125" s="149"/>
      <c r="CI125" s="149"/>
      <c r="CJ125" s="149"/>
      <c r="CK125" s="149"/>
      <c r="CL125" s="149"/>
      <c r="CM125" s="149"/>
      <c r="CN125" s="149"/>
      <c r="CO125" s="149"/>
      <c r="CP125" s="149"/>
      <c r="CQ125" s="149"/>
      <c r="CR125" s="149"/>
    </row>
    <row r="126" spans="1:96">
      <c r="A126" s="149"/>
      <c r="B126" s="149"/>
      <c r="C126" s="149"/>
      <c r="D126" s="149"/>
      <c r="E126" s="149"/>
      <c r="F126" s="149"/>
      <c r="G126" s="212"/>
      <c r="H126" s="212"/>
      <c r="K126" s="62"/>
      <c r="M126" s="158"/>
      <c r="N126" s="158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  <c r="AC126" s="149"/>
      <c r="AD126" s="149"/>
      <c r="AE126" s="149"/>
      <c r="AF126" s="149"/>
      <c r="AG126" s="149"/>
      <c r="AH126" s="149"/>
      <c r="AI126" s="149"/>
      <c r="AJ126" s="149"/>
      <c r="AK126" s="149"/>
      <c r="AL126" s="149"/>
      <c r="AM126" s="149"/>
      <c r="AN126" s="149"/>
      <c r="AO126" s="149"/>
      <c r="AP126" s="149"/>
      <c r="AQ126" s="149"/>
      <c r="AR126" s="149"/>
      <c r="AS126" s="149"/>
      <c r="AT126" s="149"/>
      <c r="AU126" s="149"/>
      <c r="AV126" s="149"/>
      <c r="AW126" s="149"/>
      <c r="AX126" s="149"/>
      <c r="AY126" s="149"/>
      <c r="AZ126" s="149"/>
      <c r="BA126" s="149"/>
      <c r="BB126" s="149"/>
      <c r="BC126" s="149"/>
      <c r="BD126" s="149"/>
      <c r="BE126" s="149"/>
      <c r="BF126" s="149"/>
      <c r="BG126" s="149"/>
      <c r="BH126" s="149"/>
      <c r="BI126" s="149"/>
      <c r="BJ126" s="149"/>
      <c r="BK126" s="149"/>
      <c r="BL126" s="149"/>
      <c r="BM126" s="149"/>
      <c r="BN126" s="149"/>
      <c r="BO126" s="149"/>
      <c r="BP126" s="149"/>
      <c r="BQ126" s="149"/>
      <c r="BR126" s="149"/>
      <c r="BS126" s="149"/>
      <c r="BT126" s="149"/>
      <c r="BU126" s="149"/>
      <c r="BV126" s="149"/>
      <c r="BW126" s="149"/>
      <c r="BX126" s="149"/>
      <c r="BY126" s="149"/>
      <c r="BZ126" s="149"/>
      <c r="CA126" s="149"/>
      <c r="CB126" s="149"/>
      <c r="CC126" s="149"/>
      <c r="CD126" s="149"/>
      <c r="CE126" s="149"/>
      <c r="CF126" s="149"/>
      <c r="CG126" s="149"/>
      <c r="CH126" s="149"/>
      <c r="CI126" s="149"/>
      <c r="CJ126" s="149"/>
      <c r="CK126" s="149"/>
      <c r="CL126" s="149"/>
      <c r="CM126" s="149"/>
      <c r="CN126" s="149"/>
      <c r="CO126" s="149"/>
      <c r="CP126" s="149"/>
      <c r="CQ126" s="149"/>
      <c r="CR126" s="149"/>
    </row>
    <row r="127" spans="1:96">
      <c r="A127" s="149"/>
      <c r="B127" s="149"/>
      <c r="C127" s="149"/>
      <c r="D127" s="149"/>
      <c r="E127" s="149"/>
      <c r="F127" s="149"/>
      <c r="G127" s="212"/>
      <c r="H127" s="212"/>
      <c r="K127" s="62"/>
      <c r="M127" s="158"/>
      <c r="N127" s="158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  <c r="AC127" s="149"/>
      <c r="AD127" s="149"/>
      <c r="AE127" s="149"/>
      <c r="AF127" s="149"/>
      <c r="AG127" s="149"/>
      <c r="AH127" s="149"/>
      <c r="AI127" s="149"/>
      <c r="AJ127" s="149"/>
      <c r="AK127" s="149"/>
      <c r="AL127" s="149"/>
      <c r="AM127" s="149"/>
      <c r="AN127" s="149"/>
      <c r="AO127" s="149"/>
      <c r="AP127" s="149"/>
      <c r="AQ127" s="149"/>
      <c r="AR127" s="149"/>
      <c r="AS127" s="149"/>
      <c r="AT127" s="149"/>
      <c r="AU127" s="149"/>
      <c r="AV127" s="149"/>
      <c r="AW127" s="149"/>
      <c r="AX127" s="149"/>
      <c r="AY127" s="149"/>
      <c r="AZ127" s="149"/>
      <c r="BA127" s="149"/>
      <c r="BB127" s="149"/>
      <c r="BC127" s="149"/>
      <c r="BD127" s="149"/>
      <c r="BE127" s="149"/>
      <c r="BF127" s="149"/>
      <c r="BG127" s="149"/>
      <c r="BH127" s="149"/>
      <c r="BI127" s="149"/>
      <c r="BJ127" s="149"/>
      <c r="BK127" s="149"/>
      <c r="BL127" s="149"/>
      <c r="BM127" s="149"/>
      <c r="BN127" s="149"/>
      <c r="BO127" s="149"/>
      <c r="BP127" s="149"/>
      <c r="BQ127" s="149"/>
      <c r="BR127" s="149"/>
      <c r="BS127" s="149"/>
      <c r="BT127" s="149"/>
      <c r="BU127" s="149"/>
      <c r="BV127" s="149"/>
      <c r="BW127" s="149"/>
      <c r="BX127" s="149"/>
      <c r="BY127" s="149"/>
      <c r="BZ127" s="149"/>
      <c r="CA127" s="149"/>
      <c r="CB127" s="149"/>
      <c r="CC127" s="149"/>
      <c r="CD127" s="149"/>
      <c r="CE127" s="149"/>
      <c r="CF127" s="149"/>
      <c r="CG127" s="149"/>
      <c r="CH127" s="149"/>
      <c r="CI127" s="149"/>
      <c r="CJ127" s="149"/>
      <c r="CK127" s="149"/>
      <c r="CL127" s="149"/>
      <c r="CM127" s="149"/>
      <c r="CN127" s="149"/>
      <c r="CO127" s="149"/>
      <c r="CP127" s="149"/>
      <c r="CQ127" s="149"/>
      <c r="CR127" s="149"/>
    </row>
    <row r="128" spans="1:96">
      <c r="A128" s="149"/>
      <c r="B128" s="149"/>
      <c r="C128" s="149"/>
      <c r="D128" s="149"/>
      <c r="E128" s="149"/>
      <c r="F128" s="149"/>
      <c r="G128" s="212"/>
      <c r="H128" s="212"/>
      <c r="K128" s="62"/>
      <c r="M128" s="158"/>
      <c r="N128" s="158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  <c r="AC128" s="149"/>
      <c r="AD128" s="149"/>
      <c r="AE128" s="149"/>
      <c r="AF128" s="149"/>
      <c r="AG128" s="149"/>
      <c r="AH128" s="149"/>
      <c r="AI128" s="149"/>
      <c r="AJ128" s="149"/>
      <c r="AK128" s="149"/>
      <c r="AL128" s="149"/>
      <c r="AM128" s="149"/>
      <c r="AN128" s="149"/>
      <c r="AO128" s="149"/>
      <c r="AP128" s="149"/>
      <c r="AQ128" s="149"/>
      <c r="AR128" s="149"/>
      <c r="AS128" s="149"/>
      <c r="AT128" s="149"/>
      <c r="AU128" s="149"/>
      <c r="AV128" s="149"/>
      <c r="AW128" s="149"/>
      <c r="AX128" s="149"/>
      <c r="AY128" s="149"/>
      <c r="AZ128" s="149"/>
      <c r="BA128" s="149"/>
      <c r="BB128" s="149"/>
      <c r="BC128" s="149"/>
      <c r="BD128" s="149"/>
      <c r="BE128" s="149"/>
      <c r="BF128" s="149"/>
      <c r="BG128" s="149"/>
      <c r="BH128" s="149"/>
      <c r="BI128" s="149"/>
      <c r="BJ128" s="149"/>
      <c r="BK128" s="149"/>
      <c r="BL128" s="149"/>
      <c r="BM128" s="149"/>
      <c r="BN128" s="149"/>
      <c r="BO128" s="149"/>
      <c r="BP128" s="149"/>
      <c r="BQ128" s="149"/>
      <c r="BR128" s="149"/>
      <c r="BS128" s="149"/>
      <c r="BT128" s="149"/>
      <c r="BU128" s="149"/>
      <c r="BV128" s="149"/>
      <c r="BW128" s="149"/>
      <c r="BX128" s="149"/>
      <c r="BY128" s="149"/>
      <c r="BZ128" s="149"/>
      <c r="CA128" s="149"/>
      <c r="CB128" s="149"/>
      <c r="CC128" s="149"/>
      <c r="CD128" s="149"/>
      <c r="CE128" s="149"/>
      <c r="CF128" s="149"/>
      <c r="CG128" s="149"/>
      <c r="CH128" s="149"/>
      <c r="CI128" s="149"/>
      <c r="CJ128" s="149"/>
      <c r="CK128" s="149"/>
      <c r="CL128" s="149"/>
      <c r="CM128" s="149"/>
      <c r="CN128" s="149"/>
      <c r="CO128" s="149"/>
      <c r="CP128" s="149"/>
      <c r="CQ128" s="149"/>
      <c r="CR128" s="149"/>
    </row>
    <row r="129" spans="1:96">
      <c r="A129" s="149"/>
      <c r="B129" s="149"/>
      <c r="C129" s="149"/>
      <c r="D129" s="149"/>
      <c r="E129" s="149"/>
      <c r="F129" s="149"/>
      <c r="G129" s="212"/>
      <c r="H129" s="212"/>
      <c r="K129" s="62"/>
      <c r="M129" s="158"/>
      <c r="N129" s="158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  <c r="AC129" s="149"/>
      <c r="AD129" s="149"/>
      <c r="AE129" s="149"/>
      <c r="AF129" s="149"/>
      <c r="AG129" s="149"/>
      <c r="AH129" s="149"/>
      <c r="AI129" s="149"/>
      <c r="AJ129" s="149"/>
      <c r="AK129" s="149"/>
      <c r="AL129" s="149"/>
      <c r="AM129" s="149"/>
      <c r="AN129" s="149"/>
      <c r="AO129" s="149"/>
      <c r="AP129" s="149"/>
      <c r="AQ129" s="149"/>
      <c r="AR129" s="149"/>
      <c r="AS129" s="149"/>
      <c r="AT129" s="149"/>
      <c r="AU129" s="149"/>
      <c r="AV129" s="149"/>
      <c r="AW129" s="149"/>
      <c r="AX129" s="149"/>
      <c r="AY129" s="149"/>
      <c r="AZ129" s="149"/>
      <c r="BA129" s="149"/>
      <c r="BB129" s="149"/>
      <c r="BC129" s="149"/>
      <c r="BD129" s="149"/>
      <c r="BE129" s="149"/>
      <c r="BF129" s="149"/>
      <c r="BG129" s="149"/>
      <c r="BH129" s="149"/>
      <c r="BI129" s="149"/>
      <c r="BJ129" s="149"/>
      <c r="BK129" s="149"/>
      <c r="BL129" s="149"/>
      <c r="BM129" s="149"/>
      <c r="BN129" s="149"/>
      <c r="BO129" s="149"/>
      <c r="BP129" s="149"/>
      <c r="BQ129" s="149"/>
      <c r="BR129" s="149"/>
      <c r="BS129" s="149"/>
      <c r="BT129" s="149"/>
      <c r="BU129" s="149"/>
      <c r="BV129" s="149"/>
      <c r="BW129" s="149"/>
      <c r="BX129" s="149"/>
      <c r="BY129" s="149"/>
      <c r="BZ129" s="149"/>
      <c r="CA129" s="149"/>
      <c r="CB129" s="149"/>
      <c r="CC129" s="149"/>
      <c r="CD129" s="149"/>
      <c r="CE129" s="149"/>
      <c r="CF129" s="149"/>
      <c r="CG129" s="149"/>
      <c r="CH129" s="149"/>
      <c r="CI129" s="149"/>
      <c r="CJ129" s="149"/>
      <c r="CK129" s="149"/>
      <c r="CL129" s="149"/>
      <c r="CM129" s="149"/>
      <c r="CN129" s="149"/>
      <c r="CO129" s="149"/>
      <c r="CP129" s="149"/>
      <c r="CQ129" s="149"/>
      <c r="CR129" s="149"/>
    </row>
    <row r="130" spans="1:96">
      <c r="A130" s="149"/>
      <c r="B130" s="149"/>
      <c r="C130" s="149"/>
      <c r="D130" s="149"/>
      <c r="E130" s="149"/>
      <c r="F130" s="149"/>
      <c r="G130" s="212"/>
      <c r="H130" s="212"/>
      <c r="K130" s="62"/>
      <c r="M130" s="158"/>
      <c r="N130" s="158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  <c r="AC130" s="149"/>
      <c r="AD130" s="149"/>
      <c r="AE130" s="149"/>
      <c r="AF130" s="149"/>
      <c r="AG130" s="149"/>
      <c r="AH130" s="149"/>
      <c r="AI130" s="149"/>
      <c r="AJ130" s="149"/>
      <c r="AK130" s="149"/>
      <c r="AL130" s="149"/>
      <c r="AM130" s="149"/>
      <c r="AN130" s="149"/>
      <c r="AO130" s="149"/>
      <c r="AP130" s="149"/>
      <c r="AQ130" s="149"/>
      <c r="AR130" s="149"/>
      <c r="AS130" s="149"/>
      <c r="AT130" s="149"/>
      <c r="AU130" s="149"/>
      <c r="AV130" s="149"/>
      <c r="AW130" s="149"/>
      <c r="AX130" s="149"/>
      <c r="AY130" s="149"/>
      <c r="AZ130" s="149"/>
      <c r="BA130" s="149"/>
      <c r="BB130" s="149"/>
      <c r="BC130" s="149"/>
      <c r="BD130" s="149"/>
      <c r="BE130" s="149"/>
      <c r="BF130" s="149"/>
      <c r="BG130" s="149"/>
      <c r="BH130" s="149"/>
      <c r="BI130" s="149"/>
      <c r="BJ130" s="149"/>
      <c r="BK130" s="149"/>
      <c r="BL130" s="149"/>
      <c r="BM130" s="149"/>
      <c r="BN130" s="149"/>
      <c r="BO130" s="149"/>
      <c r="BP130" s="149"/>
      <c r="BQ130" s="149"/>
      <c r="BR130" s="149"/>
      <c r="BS130" s="149"/>
      <c r="BT130" s="149"/>
      <c r="BU130" s="149"/>
      <c r="BV130" s="149"/>
      <c r="BW130" s="149"/>
      <c r="BX130" s="149"/>
      <c r="BY130" s="149"/>
      <c r="BZ130" s="149"/>
      <c r="CA130" s="149"/>
      <c r="CB130" s="149"/>
      <c r="CC130" s="149"/>
      <c r="CD130" s="149"/>
      <c r="CE130" s="149"/>
      <c r="CF130" s="149"/>
      <c r="CG130" s="149"/>
      <c r="CH130" s="149"/>
      <c r="CI130" s="149"/>
      <c r="CJ130" s="149"/>
      <c r="CK130" s="149"/>
      <c r="CL130" s="149"/>
      <c r="CM130" s="149"/>
      <c r="CN130" s="149"/>
      <c r="CO130" s="149"/>
      <c r="CP130" s="149"/>
      <c r="CQ130" s="149"/>
      <c r="CR130" s="149"/>
    </row>
    <row r="131" spans="1:96">
      <c r="A131" s="149"/>
      <c r="B131" s="149"/>
      <c r="C131" s="149"/>
      <c r="D131" s="149"/>
      <c r="E131" s="149"/>
      <c r="F131" s="149"/>
      <c r="G131" s="212"/>
      <c r="H131" s="212"/>
      <c r="K131" s="62"/>
      <c r="M131" s="158"/>
      <c r="N131" s="158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  <c r="AC131" s="149"/>
      <c r="AD131" s="149"/>
      <c r="AE131" s="149"/>
      <c r="AF131" s="149"/>
      <c r="AG131" s="149"/>
      <c r="AH131" s="149"/>
      <c r="AI131" s="149"/>
      <c r="AJ131" s="149"/>
      <c r="AK131" s="149"/>
      <c r="AL131" s="149"/>
      <c r="AM131" s="149"/>
      <c r="AN131" s="149"/>
      <c r="AO131" s="149"/>
      <c r="AP131" s="149"/>
      <c r="AQ131" s="149"/>
      <c r="AR131" s="149"/>
      <c r="AS131" s="149"/>
      <c r="AT131" s="149"/>
      <c r="AU131" s="149"/>
      <c r="AV131" s="149"/>
      <c r="AW131" s="149"/>
      <c r="AX131" s="149"/>
      <c r="AY131" s="149"/>
      <c r="AZ131" s="149"/>
      <c r="BA131" s="149"/>
      <c r="BB131" s="149"/>
      <c r="BC131" s="149"/>
      <c r="BD131" s="149"/>
      <c r="BE131" s="149"/>
      <c r="BF131" s="149"/>
      <c r="BG131" s="149"/>
      <c r="BH131" s="149"/>
      <c r="BI131" s="149"/>
      <c r="BJ131" s="149"/>
      <c r="BK131" s="149"/>
      <c r="BL131" s="149"/>
      <c r="BM131" s="149"/>
      <c r="BN131" s="149"/>
      <c r="BO131" s="149"/>
      <c r="BP131" s="149"/>
      <c r="BQ131" s="149"/>
      <c r="BR131" s="149"/>
      <c r="BS131" s="149"/>
      <c r="BT131" s="149"/>
      <c r="BU131" s="149"/>
      <c r="BV131" s="149"/>
      <c r="BW131" s="149"/>
      <c r="BX131" s="149"/>
      <c r="BY131" s="149"/>
      <c r="BZ131" s="149"/>
      <c r="CA131" s="149"/>
      <c r="CB131" s="149"/>
      <c r="CC131" s="149"/>
      <c r="CD131" s="149"/>
      <c r="CE131" s="149"/>
      <c r="CF131" s="149"/>
      <c r="CG131" s="149"/>
      <c r="CH131" s="149"/>
      <c r="CI131" s="149"/>
      <c r="CJ131" s="149"/>
      <c r="CK131" s="149"/>
      <c r="CL131" s="149"/>
      <c r="CM131" s="149"/>
      <c r="CN131" s="149"/>
      <c r="CO131" s="149"/>
      <c r="CP131" s="149"/>
      <c r="CQ131" s="149"/>
      <c r="CR131" s="149"/>
    </row>
    <row r="132" spans="1:96">
      <c r="A132" s="149"/>
      <c r="B132" s="149"/>
      <c r="C132" s="149"/>
      <c r="D132" s="149"/>
      <c r="E132" s="149"/>
      <c r="F132" s="149"/>
      <c r="G132" s="212"/>
      <c r="H132" s="212"/>
      <c r="K132" s="62"/>
      <c r="M132" s="158"/>
      <c r="N132" s="158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  <c r="AC132" s="149"/>
      <c r="AD132" s="149"/>
      <c r="AE132" s="149"/>
      <c r="AF132" s="149"/>
      <c r="AG132" s="149"/>
      <c r="AH132" s="149"/>
      <c r="AI132" s="149"/>
      <c r="AJ132" s="149"/>
      <c r="AK132" s="149"/>
      <c r="AL132" s="149"/>
      <c r="AM132" s="149"/>
      <c r="AN132" s="149"/>
      <c r="AO132" s="149"/>
      <c r="AP132" s="149"/>
      <c r="AQ132" s="149"/>
      <c r="AR132" s="149"/>
      <c r="AS132" s="149"/>
      <c r="AT132" s="149"/>
      <c r="AU132" s="149"/>
      <c r="AV132" s="149"/>
      <c r="AW132" s="149"/>
      <c r="AX132" s="149"/>
      <c r="AY132" s="149"/>
      <c r="AZ132" s="149"/>
      <c r="BA132" s="149"/>
      <c r="BB132" s="149"/>
      <c r="BC132" s="149"/>
      <c r="BD132" s="149"/>
      <c r="BE132" s="149"/>
      <c r="BF132" s="149"/>
      <c r="BG132" s="149"/>
      <c r="BH132" s="149"/>
      <c r="BI132" s="149"/>
      <c r="BJ132" s="149"/>
      <c r="BK132" s="149"/>
      <c r="BL132" s="149"/>
      <c r="BM132" s="149"/>
      <c r="BN132" s="149"/>
      <c r="BO132" s="149"/>
      <c r="BP132" s="149"/>
      <c r="BQ132" s="149"/>
      <c r="BR132" s="149"/>
      <c r="BS132" s="149"/>
      <c r="BT132" s="149"/>
      <c r="BU132" s="149"/>
      <c r="BV132" s="149"/>
      <c r="BW132" s="149"/>
      <c r="BX132" s="149"/>
      <c r="BY132" s="149"/>
      <c r="BZ132" s="149"/>
      <c r="CA132" s="149"/>
      <c r="CB132" s="149"/>
      <c r="CC132" s="149"/>
      <c r="CD132" s="149"/>
      <c r="CE132" s="149"/>
      <c r="CF132" s="149"/>
      <c r="CG132" s="149"/>
      <c r="CH132" s="149"/>
      <c r="CI132" s="149"/>
      <c r="CJ132" s="149"/>
      <c r="CK132" s="149"/>
      <c r="CL132" s="149"/>
      <c r="CM132" s="149"/>
      <c r="CN132" s="149"/>
      <c r="CO132" s="149"/>
      <c r="CP132" s="149"/>
      <c r="CQ132" s="149"/>
      <c r="CR132" s="149"/>
    </row>
    <row r="133" spans="1:96">
      <c r="A133" s="149"/>
      <c r="B133" s="149"/>
      <c r="C133" s="149"/>
      <c r="D133" s="149"/>
      <c r="E133" s="149"/>
      <c r="F133" s="149"/>
      <c r="G133" s="212"/>
      <c r="H133" s="212"/>
      <c r="K133" s="62"/>
      <c r="M133" s="158"/>
      <c r="N133" s="158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  <c r="AC133" s="149"/>
      <c r="AD133" s="149"/>
      <c r="AE133" s="149"/>
      <c r="AF133" s="149"/>
      <c r="AG133" s="149"/>
      <c r="AH133" s="149"/>
      <c r="AI133" s="149"/>
      <c r="AJ133" s="149"/>
      <c r="AK133" s="149"/>
      <c r="AL133" s="149"/>
      <c r="AM133" s="149"/>
      <c r="AN133" s="149"/>
      <c r="AO133" s="149"/>
      <c r="AP133" s="149"/>
      <c r="AQ133" s="149"/>
      <c r="AR133" s="149"/>
      <c r="AS133" s="149"/>
      <c r="AT133" s="149"/>
      <c r="AU133" s="149"/>
      <c r="AV133" s="149"/>
      <c r="AW133" s="149"/>
      <c r="AX133" s="149"/>
      <c r="AY133" s="149"/>
      <c r="AZ133" s="149"/>
      <c r="BA133" s="149"/>
      <c r="BB133" s="149"/>
      <c r="BC133" s="149"/>
      <c r="BD133" s="149"/>
      <c r="BE133" s="149"/>
      <c r="BF133" s="149"/>
      <c r="BG133" s="149"/>
      <c r="BH133" s="149"/>
      <c r="BI133" s="149"/>
      <c r="BJ133" s="149"/>
      <c r="BK133" s="149"/>
      <c r="BL133" s="149"/>
      <c r="BM133" s="149"/>
      <c r="BN133" s="149"/>
      <c r="BO133" s="149"/>
      <c r="BP133" s="149"/>
      <c r="BQ133" s="149"/>
      <c r="BR133" s="149"/>
      <c r="BS133" s="149"/>
      <c r="BT133" s="149"/>
      <c r="BU133" s="149"/>
      <c r="BV133" s="149"/>
      <c r="BW133" s="149"/>
      <c r="BX133" s="149"/>
      <c r="BY133" s="149"/>
      <c r="BZ133" s="149"/>
      <c r="CA133" s="149"/>
      <c r="CB133" s="149"/>
      <c r="CC133" s="149"/>
      <c r="CD133" s="149"/>
      <c r="CE133" s="149"/>
      <c r="CF133" s="149"/>
      <c r="CG133" s="149"/>
      <c r="CH133" s="149"/>
      <c r="CI133" s="149"/>
      <c r="CJ133" s="149"/>
      <c r="CK133" s="149"/>
      <c r="CL133" s="149"/>
      <c r="CM133" s="149"/>
      <c r="CN133" s="149"/>
      <c r="CO133" s="149"/>
      <c r="CP133" s="149"/>
      <c r="CQ133" s="149"/>
      <c r="CR133" s="149"/>
    </row>
    <row r="134" spans="1:96">
      <c r="A134" s="149"/>
      <c r="B134" s="149"/>
      <c r="C134" s="149"/>
      <c r="D134" s="149"/>
      <c r="E134" s="149"/>
      <c r="F134" s="149"/>
      <c r="G134" s="212"/>
      <c r="H134" s="212"/>
      <c r="K134" s="62"/>
      <c r="M134" s="158"/>
      <c r="N134" s="158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  <c r="AC134" s="149"/>
      <c r="AD134" s="149"/>
      <c r="AE134" s="149"/>
      <c r="AF134" s="149"/>
      <c r="AG134" s="149"/>
      <c r="AH134" s="149"/>
      <c r="AI134" s="149"/>
      <c r="AJ134" s="149"/>
      <c r="AK134" s="149"/>
      <c r="AL134" s="149"/>
      <c r="AM134" s="149"/>
      <c r="AN134" s="149"/>
      <c r="AO134" s="149"/>
      <c r="AP134" s="149"/>
      <c r="AQ134" s="149"/>
      <c r="AR134" s="149"/>
      <c r="AS134" s="149"/>
      <c r="AT134" s="149"/>
      <c r="AU134" s="149"/>
      <c r="AV134" s="149"/>
      <c r="AW134" s="149"/>
      <c r="AX134" s="149"/>
      <c r="AY134" s="149"/>
      <c r="AZ134" s="149"/>
      <c r="BA134" s="149"/>
      <c r="BB134" s="149"/>
      <c r="BC134" s="149"/>
      <c r="BD134" s="149"/>
      <c r="BE134" s="149"/>
      <c r="BF134" s="149"/>
      <c r="BG134" s="149"/>
      <c r="BH134" s="149"/>
      <c r="BI134" s="149"/>
      <c r="BJ134" s="149"/>
      <c r="BK134" s="149"/>
      <c r="BL134" s="149"/>
      <c r="BM134" s="149"/>
      <c r="BN134" s="149"/>
      <c r="BO134" s="149"/>
      <c r="BP134" s="149"/>
      <c r="BQ134" s="149"/>
      <c r="BR134" s="149"/>
      <c r="BS134" s="149"/>
      <c r="BT134" s="149"/>
      <c r="BU134" s="149"/>
      <c r="BV134" s="149"/>
      <c r="BW134" s="149"/>
      <c r="BX134" s="149"/>
      <c r="BY134" s="149"/>
      <c r="BZ134" s="149"/>
      <c r="CA134" s="149"/>
      <c r="CB134" s="149"/>
      <c r="CC134" s="149"/>
      <c r="CD134" s="149"/>
      <c r="CE134" s="149"/>
      <c r="CF134" s="149"/>
      <c r="CG134" s="149"/>
      <c r="CH134" s="149"/>
      <c r="CI134" s="149"/>
      <c r="CJ134" s="149"/>
      <c r="CK134" s="149"/>
      <c r="CL134" s="149"/>
      <c r="CM134" s="149"/>
      <c r="CN134" s="149"/>
      <c r="CO134" s="149"/>
      <c r="CP134" s="149"/>
      <c r="CQ134" s="149"/>
      <c r="CR134" s="149"/>
    </row>
    <row r="135" spans="1:96">
      <c r="A135" s="149"/>
      <c r="B135" s="149"/>
      <c r="C135" s="149"/>
      <c r="D135" s="149"/>
      <c r="E135" s="149"/>
      <c r="F135" s="149"/>
      <c r="G135" s="212"/>
      <c r="H135" s="212"/>
      <c r="K135" s="62"/>
      <c r="M135" s="158"/>
      <c r="N135" s="158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  <c r="AC135" s="149"/>
      <c r="AD135" s="149"/>
      <c r="AE135" s="149"/>
      <c r="AF135" s="149"/>
      <c r="AG135" s="149"/>
      <c r="AH135" s="149"/>
      <c r="AI135" s="149"/>
      <c r="AJ135" s="149"/>
      <c r="AK135" s="149"/>
      <c r="AL135" s="149"/>
      <c r="AM135" s="149"/>
      <c r="AN135" s="149"/>
      <c r="AO135" s="149"/>
      <c r="AP135" s="149"/>
      <c r="AQ135" s="149"/>
      <c r="AR135" s="149"/>
      <c r="AS135" s="149"/>
      <c r="AT135" s="149"/>
      <c r="AU135" s="149"/>
      <c r="AV135" s="149"/>
      <c r="AW135" s="149"/>
      <c r="AX135" s="149"/>
      <c r="AY135" s="149"/>
      <c r="AZ135" s="149"/>
      <c r="BA135" s="149"/>
      <c r="BB135" s="149"/>
      <c r="BC135" s="149"/>
      <c r="BD135" s="149"/>
      <c r="BE135" s="149"/>
      <c r="BF135" s="149"/>
      <c r="BG135" s="149"/>
      <c r="BH135" s="149"/>
      <c r="BI135" s="149"/>
      <c r="BJ135" s="149"/>
      <c r="BK135" s="149"/>
      <c r="BL135" s="149"/>
      <c r="BM135" s="149"/>
      <c r="BN135" s="149"/>
      <c r="BO135" s="149"/>
      <c r="BP135" s="149"/>
      <c r="BQ135" s="149"/>
      <c r="BR135" s="149"/>
      <c r="BS135" s="149"/>
      <c r="BT135" s="149"/>
      <c r="BU135" s="149"/>
      <c r="BV135" s="149"/>
      <c r="BW135" s="149"/>
      <c r="BX135" s="149"/>
      <c r="BY135" s="149"/>
      <c r="BZ135" s="149"/>
      <c r="CA135" s="149"/>
      <c r="CB135" s="149"/>
      <c r="CC135" s="149"/>
      <c r="CD135" s="149"/>
      <c r="CE135" s="149"/>
      <c r="CF135" s="149"/>
      <c r="CG135" s="149"/>
      <c r="CH135" s="149"/>
      <c r="CI135" s="149"/>
      <c r="CJ135" s="149"/>
      <c r="CK135" s="149"/>
      <c r="CL135" s="149"/>
      <c r="CM135" s="149"/>
      <c r="CN135" s="149"/>
      <c r="CO135" s="149"/>
      <c r="CP135" s="149"/>
      <c r="CQ135" s="149"/>
      <c r="CR135" s="149"/>
    </row>
    <row r="136" spans="1:96">
      <c r="A136" s="149"/>
      <c r="B136" s="149"/>
      <c r="C136" s="149"/>
      <c r="D136" s="149"/>
      <c r="E136" s="149"/>
      <c r="F136" s="149"/>
      <c r="G136" s="212"/>
      <c r="H136" s="212"/>
      <c r="K136" s="62"/>
      <c r="M136" s="158"/>
      <c r="N136" s="158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  <c r="AC136" s="149"/>
      <c r="AD136" s="149"/>
      <c r="AE136" s="149"/>
      <c r="AF136" s="149"/>
      <c r="AG136" s="149"/>
      <c r="AH136" s="149"/>
      <c r="AI136" s="149"/>
      <c r="AJ136" s="149"/>
      <c r="AK136" s="149"/>
      <c r="AL136" s="149"/>
      <c r="AM136" s="149"/>
      <c r="AN136" s="149"/>
      <c r="AO136" s="149"/>
      <c r="AP136" s="149"/>
      <c r="AQ136" s="149"/>
      <c r="AR136" s="149"/>
      <c r="AS136" s="149"/>
      <c r="AT136" s="149"/>
      <c r="AU136" s="149"/>
      <c r="AV136" s="149"/>
      <c r="AW136" s="149"/>
      <c r="AX136" s="149"/>
      <c r="AY136" s="149"/>
      <c r="AZ136" s="149"/>
      <c r="BA136" s="149"/>
      <c r="BB136" s="149"/>
      <c r="BC136" s="149"/>
      <c r="BD136" s="149"/>
      <c r="BE136" s="149"/>
      <c r="BF136" s="149"/>
      <c r="BG136" s="149"/>
      <c r="BH136" s="149"/>
      <c r="BI136" s="149"/>
      <c r="BJ136" s="149"/>
      <c r="BK136" s="149"/>
      <c r="BL136" s="149"/>
      <c r="BM136" s="149"/>
      <c r="BN136" s="149"/>
      <c r="BO136" s="149"/>
      <c r="BP136" s="149"/>
      <c r="BQ136" s="149"/>
      <c r="BR136" s="149"/>
      <c r="BS136" s="149"/>
      <c r="BT136" s="149"/>
      <c r="BU136" s="149"/>
      <c r="BV136" s="149"/>
      <c r="BW136" s="149"/>
      <c r="BX136" s="149"/>
      <c r="BY136" s="149"/>
      <c r="BZ136" s="149"/>
      <c r="CA136" s="149"/>
      <c r="CB136" s="149"/>
      <c r="CC136" s="149"/>
      <c r="CD136" s="149"/>
      <c r="CE136" s="149"/>
      <c r="CF136" s="149"/>
      <c r="CG136" s="149"/>
      <c r="CH136" s="149"/>
      <c r="CI136" s="149"/>
      <c r="CJ136" s="149"/>
      <c r="CK136" s="149"/>
      <c r="CL136" s="149"/>
      <c r="CM136" s="149"/>
      <c r="CN136" s="149"/>
      <c r="CO136" s="149"/>
      <c r="CP136" s="149"/>
      <c r="CQ136" s="149"/>
      <c r="CR136" s="149"/>
    </row>
    <row r="137" spans="1:96">
      <c r="A137" s="149"/>
      <c r="B137" s="149"/>
      <c r="C137" s="149"/>
      <c r="D137" s="149"/>
      <c r="E137" s="149"/>
      <c r="F137" s="149"/>
      <c r="G137" s="212"/>
      <c r="H137" s="212"/>
      <c r="K137" s="62"/>
      <c r="M137" s="158"/>
      <c r="N137" s="158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  <c r="AC137" s="149"/>
      <c r="AD137" s="149"/>
      <c r="AE137" s="149"/>
      <c r="AF137" s="149"/>
      <c r="AG137" s="149"/>
      <c r="AH137" s="149"/>
      <c r="AI137" s="149"/>
      <c r="AJ137" s="149"/>
      <c r="AK137" s="149"/>
      <c r="AL137" s="149"/>
      <c r="AM137" s="149"/>
      <c r="AN137" s="149"/>
      <c r="AO137" s="149"/>
      <c r="AP137" s="149"/>
      <c r="AQ137" s="149"/>
      <c r="AR137" s="149"/>
      <c r="AS137" s="149"/>
      <c r="AT137" s="149"/>
      <c r="AU137" s="149"/>
      <c r="AV137" s="149"/>
      <c r="AW137" s="149"/>
      <c r="AX137" s="149"/>
      <c r="AY137" s="149"/>
      <c r="AZ137" s="149"/>
      <c r="BA137" s="149"/>
      <c r="BB137" s="149"/>
      <c r="BC137" s="149"/>
      <c r="BD137" s="149"/>
      <c r="BE137" s="149"/>
      <c r="BF137" s="149"/>
      <c r="BG137" s="149"/>
      <c r="BH137" s="149"/>
      <c r="BI137" s="149"/>
      <c r="BJ137" s="149"/>
      <c r="BK137" s="149"/>
      <c r="BL137" s="149"/>
      <c r="BM137" s="149"/>
      <c r="BN137" s="149"/>
      <c r="BO137" s="149"/>
      <c r="BP137" s="149"/>
      <c r="BQ137" s="149"/>
      <c r="BR137" s="149"/>
      <c r="BS137" s="149"/>
      <c r="BT137" s="149"/>
      <c r="BU137" s="149"/>
      <c r="BV137" s="149"/>
      <c r="BW137" s="149"/>
      <c r="BX137" s="149"/>
      <c r="BY137" s="149"/>
      <c r="BZ137" s="149"/>
      <c r="CA137" s="149"/>
      <c r="CB137" s="149"/>
      <c r="CC137" s="149"/>
      <c r="CD137" s="149"/>
      <c r="CE137" s="149"/>
      <c r="CF137" s="149"/>
      <c r="CG137" s="149"/>
      <c r="CH137" s="149"/>
      <c r="CI137" s="149"/>
      <c r="CJ137" s="149"/>
      <c r="CK137" s="149"/>
      <c r="CL137" s="149"/>
      <c r="CM137" s="149"/>
      <c r="CN137" s="149"/>
      <c r="CO137" s="149"/>
      <c r="CP137" s="149"/>
      <c r="CQ137" s="149"/>
      <c r="CR137" s="149"/>
    </row>
    <row r="138" spans="1:96">
      <c r="A138" s="149"/>
      <c r="B138" s="149"/>
      <c r="C138" s="149"/>
      <c r="D138" s="149"/>
      <c r="E138" s="149"/>
      <c r="F138" s="149"/>
      <c r="G138" s="212"/>
      <c r="H138" s="212"/>
      <c r="K138" s="62"/>
      <c r="M138" s="158"/>
      <c r="N138" s="158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  <c r="AC138" s="149"/>
      <c r="AD138" s="149"/>
      <c r="AE138" s="149"/>
      <c r="AF138" s="149"/>
      <c r="AG138" s="149"/>
      <c r="AH138" s="149"/>
      <c r="AI138" s="149"/>
      <c r="AJ138" s="149"/>
      <c r="AK138" s="149"/>
      <c r="AL138" s="149"/>
      <c r="AM138" s="149"/>
      <c r="AN138" s="149"/>
      <c r="AO138" s="149"/>
      <c r="AP138" s="149"/>
      <c r="AQ138" s="149"/>
      <c r="AR138" s="149"/>
      <c r="AS138" s="149"/>
      <c r="AT138" s="149"/>
      <c r="AU138" s="149"/>
      <c r="AV138" s="149"/>
      <c r="AW138" s="149"/>
      <c r="AX138" s="149"/>
      <c r="AY138" s="149"/>
      <c r="AZ138" s="149"/>
      <c r="BA138" s="149"/>
      <c r="BB138" s="149"/>
      <c r="BC138" s="149"/>
      <c r="BD138" s="149"/>
      <c r="BE138" s="149"/>
      <c r="BF138" s="149"/>
      <c r="BG138" s="149"/>
      <c r="BH138" s="149"/>
      <c r="BI138" s="149"/>
      <c r="BJ138" s="149"/>
      <c r="BK138" s="149"/>
      <c r="BL138" s="149"/>
      <c r="BM138" s="149"/>
      <c r="BN138" s="149"/>
      <c r="BO138" s="149"/>
      <c r="BP138" s="149"/>
      <c r="BQ138" s="149"/>
      <c r="BR138" s="149"/>
      <c r="BS138" s="149"/>
      <c r="BT138" s="149"/>
      <c r="BU138" s="149"/>
      <c r="BV138" s="149"/>
      <c r="BW138" s="149"/>
      <c r="BX138" s="149"/>
      <c r="BY138" s="149"/>
      <c r="BZ138" s="149"/>
      <c r="CA138" s="149"/>
      <c r="CB138" s="149"/>
      <c r="CC138" s="149"/>
      <c r="CD138" s="149"/>
      <c r="CE138" s="149"/>
      <c r="CF138" s="149"/>
      <c r="CG138" s="149"/>
      <c r="CH138" s="149"/>
      <c r="CI138" s="149"/>
      <c r="CJ138" s="149"/>
      <c r="CK138" s="149"/>
      <c r="CL138" s="149"/>
      <c r="CM138" s="149"/>
      <c r="CN138" s="149"/>
      <c r="CO138" s="149"/>
      <c r="CP138" s="149"/>
      <c r="CQ138" s="149"/>
      <c r="CR138" s="149"/>
    </row>
    <row r="139" spans="1:96">
      <c r="A139" s="149"/>
      <c r="B139" s="149"/>
      <c r="C139" s="149"/>
      <c r="D139" s="149"/>
      <c r="E139" s="149"/>
      <c r="F139" s="149"/>
      <c r="G139" s="212"/>
      <c r="H139" s="212"/>
      <c r="K139" s="62"/>
      <c r="M139" s="158"/>
      <c r="N139" s="158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49"/>
      <c r="AH139" s="149"/>
      <c r="AI139" s="149"/>
      <c r="AJ139" s="149"/>
      <c r="AK139" s="149"/>
      <c r="AL139" s="149"/>
      <c r="AM139" s="149"/>
      <c r="AN139" s="149"/>
      <c r="AO139" s="149"/>
      <c r="AP139" s="149"/>
      <c r="AQ139" s="149"/>
      <c r="AR139" s="149"/>
      <c r="AS139" s="149"/>
      <c r="AT139" s="149"/>
      <c r="AU139" s="149"/>
      <c r="AV139" s="149"/>
      <c r="AW139" s="149"/>
      <c r="AX139" s="149"/>
      <c r="AY139" s="149"/>
      <c r="AZ139" s="149"/>
      <c r="BA139" s="149"/>
      <c r="BB139" s="149"/>
      <c r="BC139" s="149"/>
      <c r="BD139" s="149"/>
      <c r="BE139" s="149"/>
      <c r="BF139" s="149"/>
      <c r="BG139" s="149"/>
      <c r="BH139" s="149"/>
      <c r="BI139" s="149"/>
      <c r="BJ139" s="149"/>
      <c r="BK139" s="149"/>
      <c r="BL139" s="149"/>
      <c r="BM139" s="149"/>
      <c r="BN139" s="149"/>
      <c r="BO139" s="149"/>
      <c r="BP139" s="149"/>
      <c r="BQ139" s="149"/>
      <c r="BR139" s="149"/>
      <c r="BS139" s="149"/>
      <c r="BT139" s="149"/>
      <c r="BU139" s="149"/>
      <c r="BV139" s="149"/>
      <c r="BW139" s="149"/>
      <c r="BX139" s="149"/>
      <c r="BY139" s="149"/>
      <c r="BZ139" s="149"/>
      <c r="CA139" s="149"/>
      <c r="CB139" s="149"/>
      <c r="CC139" s="149"/>
      <c r="CD139" s="149"/>
      <c r="CE139" s="149"/>
      <c r="CF139" s="149"/>
      <c r="CG139" s="149"/>
      <c r="CH139" s="149"/>
      <c r="CI139" s="149"/>
      <c r="CJ139" s="149"/>
      <c r="CK139" s="149"/>
      <c r="CL139" s="149"/>
      <c r="CM139" s="149"/>
      <c r="CN139" s="149"/>
      <c r="CO139" s="149"/>
      <c r="CP139" s="149"/>
      <c r="CQ139" s="149"/>
      <c r="CR139" s="149"/>
    </row>
    <row r="140" spans="1:96">
      <c r="A140" s="149"/>
      <c r="B140" s="149"/>
      <c r="C140" s="149"/>
      <c r="D140" s="149"/>
      <c r="E140" s="149"/>
      <c r="F140" s="149"/>
      <c r="G140" s="212"/>
      <c r="H140" s="212"/>
      <c r="K140" s="62"/>
      <c r="M140" s="158"/>
      <c r="N140" s="158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49"/>
      <c r="AH140" s="149"/>
      <c r="AI140" s="149"/>
      <c r="AJ140" s="149"/>
      <c r="AK140" s="149"/>
      <c r="AL140" s="149"/>
      <c r="AM140" s="149"/>
      <c r="AN140" s="149"/>
      <c r="AO140" s="149"/>
      <c r="AP140" s="149"/>
      <c r="AQ140" s="149"/>
      <c r="AR140" s="149"/>
      <c r="AS140" s="149"/>
      <c r="AT140" s="149"/>
      <c r="AU140" s="149"/>
      <c r="AV140" s="149"/>
      <c r="AW140" s="149"/>
      <c r="AX140" s="149"/>
      <c r="AY140" s="149"/>
      <c r="AZ140" s="149"/>
      <c r="BA140" s="149"/>
      <c r="BB140" s="149"/>
      <c r="BC140" s="149"/>
      <c r="BD140" s="149"/>
      <c r="BE140" s="149"/>
      <c r="BF140" s="149"/>
      <c r="BG140" s="149"/>
      <c r="BH140" s="149"/>
      <c r="BI140" s="149"/>
      <c r="BJ140" s="149"/>
      <c r="BK140" s="149"/>
      <c r="BL140" s="149"/>
      <c r="BM140" s="149"/>
      <c r="BN140" s="149"/>
      <c r="BO140" s="149"/>
      <c r="BP140" s="149"/>
      <c r="BQ140" s="149"/>
      <c r="BR140" s="149"/>
      <c r="BS140" s="149"/>
      <c r="BT140" s="149"/>
      <c r="BU140" s="149"/>
      <c r="BV140" s="149"/>
      <c r="BW140" s="149"/>
      <c r="BX140" s="149"/>
      <c r="BY140" s="149"/>
      <c r="BZ140" s="149"/>
      <c r="CA140" s="149"/>
      <c r="CB140" s="149"/>
      <c r="CC140" s="149"/>
      <c r="CD140" s="149"/>
      <c r="CE140" s="149"/>
      <c r="CF140" s="149"/>
      <c r="CG140" s="149"/>
      <c r="CH140" s="149"/>
      <c r="CI140" s="149"/>
      <c r="CJ140" s="149"/>
      <c r="CK140" s="149"/>
      <c r="CL140" s="149"/>
      <c r="CM140" s="149"/>
      <c r="CN140" s="149"/>
      <c r="CO140" s="149"/>
      <c r="CP140" s="149"/>
      <c r="CQ140" s="149"/>
      <c r="CR140" s="149"/>
    </row>
    <row r="141" spans="1:96">
      <c r="A141" s="149"/>
      <c r="B141" s="149"/>
      <c r="C141" s="149"/>
      <c r="D141" s="149"/>
      <c r="E141" s="149"/>
      <c r="F141" s="149"/>
      <c r="G141" s="212"/>
      <c r="H141" s="212"/>
      <c r="K141" s="62"/>
      <c r="M141" s="158"/>
      <c r="N141" s="158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49"/>
      <c r="AH141" s="149"/>
      <c r="AI141" s="149"/>
      <c r="AJ141" s="149"/>
      <c r="AK141" s="149"/>
      <c r="AL141" s="149"/>
      <c r="AM141" s="149"/>
      <c r="AN141" s="149"/>
      <c r="AO141" s="149"/>
      <c r="AP141" s="149"/>
      <c r="AQ141" s="149"/>
      <c r="AR141" s="149"/>
      <c r="AS141" s="149"/>
      <c r="AT141" s="149"/>
      <c r="AU141" s="149"/>
      <c r="AV141" s="149"/>
      <c r="AW141" s="149"/>
      <c r="AX141" s="149"/>
      <c r="AY141" s="149"/>
      <c r="AZ141" s="149"/>
      <c r="BA141" s="149"/>
      <c r="BB141" s="149"/>
      <c r="BC141" s="149"/>
      <c r="BD141" s="149"/>
      <c r="BE141" s="149"/>
      <c r="BF141" s="149"/>
      <c r="BG141" s="149"/>
      <c r="BH141" s="149"/>
      <c r="BI141" s="149"/>
      <c r="BJ141" s="149"/>
      <c r="BK141" s="149"/>
      <c r="BL141" s="149"/>
      <c r="BM141" s="149"/>
      <c r="BN141" s="149"/>
      <c r="BO141" s="149"/>
      <c r="BP141" s="149"/>
      <c r="BQ141" s="149"/>
      <c r="BR141" s="149"/>
      <c r="BS141" s="149"/>
      <c r="BT141" s="149"/>
      <c r="BU141" s="149"/>
      <c r="BV141" s="149"/>
      <c r="BW141" s="149"/>
      <c r="BX141" s="149"/>
      <c r="BY141" s="149"/>
      <c r="BZ141" s="149"/>
      <c r="CA141" s="149"/>
      <c r="CB141" s="149"/>
      <c r="CC141" s="149"/>
      <c r="CD141" s="149"/>
      <c r="CE141" s="149"/>
      <c r="CF141" s="149"/>
      <c r="CG141" s="149"/>
      <c r="CH141" s="149"/>
      <c r="CI141" s="149"/>
      <c r="CJ141" s="149"/>
      <c r="CK141" s="149"/>
      <c r="CL141" s="149"/>
      <c r="CM141" s="149"/>
      <c r="CN141" s="149"/>
      <c r="CO141" s="149"/>
      <c r="CP141" s="149"/>
      <c r="CQ141" s="149"/>
      <c r="CR141" s="149"/>
    </row>
    <row r="142" spans="1:96">
      <c r="A142" s="149"/>
      <c r="B142" s="149"/>
      <c r="C142" s="149"/>
      <c r="D142" s="149"/>
      <c r="E142" s="149"/>
      <c r="F142" s="149"/>
      <c r="G142" s="212"/>
      <c r="H142" s="212"/>
      <c r="K142" s="62"/>
      <c r="M142" s="158"/>
      <c r="N142" s="158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49"/>
      <c r="AH142" s="149"/>
      <c r="AI142" s="149"/>
      <c r="AJ142" s="149"/>
      <c r="AK142" s="149"/>
      <c r="AL142" s="149"/>
      <c r="AM142" s="149"/>
      <c r="AN142" s="149"/>
      <c r="AO142" s="149"/>
      <c r="AP142" s="149"/>
      <c r="AQ142" s="149"/>
      <c r="AR142" s="149"/>
      <c r="AS142" s="149"/>
      <c r="AT142" s="149"/>
      <c r="AU142" s="149"/>
      <c r="AV142" s="149"/>
      <c r="AW142" s="149"/>
      <c r="AX142" s="149"/>
      <c r="AY142" s="149"/>
      <c r="AZ142" s="149"/>
      <c r="BA142" s="149"/>
      <c r="BB142" s="149"/>
      <c r="BC142" s="149"/>
      <c r="BD142" s="149"/>
      <c r="BE142" s="149"/>
      <c r="BF142" s="149"/>
      <c r="BG142" s="149"/>
      <c r="BH142" s="149"/>
      <c r="BI142" s="149"/>
      <c r="BJ142" s="149"/>
      <c r="BK142" s="149"/>
      <c r="BL142" s="149"/>
      <c r="BM142" s="149"/>
      <c r="BN142" s="149"/>
      <c r="BO142" s="149"/>
      <c r="BP142" s="149"/>
      <c r="BQ142" s="149"/>
      <c r="BR142" s="149"/>
      <c r="BS142" s="149"/>
      <c r="BT142" s="149"/>
      <c r="BU142" s="149"/>
      <c r="BV142" s="149"/>
      <c r="BW142" s="149"/>
      <c r="BX142" s="149"/>
      <c r="BY142" s="149"/>
      <c r="BZ142" s="149"/>
      <c r="CA142" s="149"/>
      <c r="CB142" s="149"/>
      <c r="CC142" s="149"/>
      <c r="CD142" s="149"/>
      <c r="CE142" s="149"/>
      <c r="CF142" s="149"/>
      <c r="CG142" s="149"/>
      <c r="CH142" s="149"/>
      <c r="CI142" s="149"/>
      <c r="CJ142" s="149"/>
      <c r="CK142" s="149"/>
      <c r="CL142" s="149"/>
      <c r="CM142" s="149"/>
      <c r="CN142" s="149"/>
      <c r="CO142" s="149"/>
      <c r="CP142" s="149"/>
      <c r="CQ142" s="149"/>
      <c r="CR142" s="149"/>
    </row>
    <row r="143" spans="1:96">
      <c r="A143" s="149"/>
      <c r="B143" s="149"/>
      <c r="C143" s="149"/>
      <c r="D143" s="149"/>
      <c r="E143" s="149"/>
      <c r="F143" s="149"/>
      <c r="G143" s="212"/>
      <c r="H143" s="212"/>
      <c r="K143" s="62"/>
      <c r="M143" s="158"/>
      <c r="N143" s="158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49"/>
      <c r="AH143" s="149"/>
      <c r="AI143" s="149"/>
      <c r="AJ143" s="149"/>
      <c r="AK143" s="149"/>
      <c r="AL143" s="149"/>
      <c r="AM143" s="149"/>
      <c r="AN143" s="149"/>
      <c r="AO143" s="149"/>
      <c r="AP143" s="149"/>
      <c r="AQ143" s="149"/>
      <c r="AR143" s="149"/>
      <c r="AS143" s="149"/>
      <c r="AT143" s="149"/>
      <c r="AU143" s="149"/>
      <c r="AV143" s="149"/>
      <c r="AW143" s="149"/>
      <c r="AX143" s="149"/>
      <c r="AY143" s="149"/>
      <c r="AZ143" s="149"/>
      <c r="BA143" s="149"/>
      <c r="BB143" s="149"/>
      <c r="BC143" s="149"/>
      <c r="BD143" s="149"/>
      <c r="BE143" s="149"/>
      <c r="BF143" s="149"/>
      <c r="BG143" s="149"/>
      <c r="BH143" s="149"/>
      <c r="BI143" s="149"/>
      <c r="BJ143" s="149"/>
      <c r="BK143" s="149"/>
      <c r="BL143" s="149"/>
      <c r="BM143" s="149"/>
      <c r="BN143" s="149"/>
      <c r="BO143" s="149"/>
      <c r="BP143" s="149"/>
      <c r="BQ143" s="149"/>
      <c r="BR143" s="149"/>
      <c r="BS143" s="149"/>
      <c r="BT143" s="149"/>
      <c r="BU143" s="149"/>
      <c r="BV143" s="149"/>
      <c r="BW143" s="149"/>
      <c r="BX143" s="149"/>
      <c r="BY143" s="149"/>
      <c r="BZ143" s="149"/>
      <c r="CA143" s="149"/>
      <c r="CB143" s="149"/>
      <c r="CC143" s="149"/>
      <c r="CD143" s="149"/>
      <c r="CE143" s="149"/>
      <c r="CF143" s="149"/>
      <c r="CG143" s="149"/>
      <c r="CH143" s="149"/>
      <c r="CI143" s="149"/>
      <c r="CJ143" s="149"/>
      <c r="CK143" s="149"/>
      <c r="CL143" s="149"/>
      <c r="CM143" s="149"/>
      <c r="CN143" s="149"/>
      <c r="CO143" s="149"/>
      <c r="CP143" s="149"/>
      <c r="CQ143" s="149"/>
      <c r="CR143" s="149"/>
    </row>
    <row r="144" spans="1:96">
      <c r="A144" s="149"/>
      <c r="B144" s="149"/>
      <c r="C144" s="149"/>
      <c r="D144" s="149"/>
      <c r="E144" s="149"/>
      <c r="F144" s="149"/>
      <c r="G144" s="212"/>
      <c r="H144" s="212"/>
      <c r="K144" s="62"/>
      <c r="M144" s="158"/>
      <c r="N144" s="158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49"/>
      <c r="AH144" s="149"/>
      <c r="AI144" s="149"/>
      <c r="AJ144" s="149"/>
      <c r="AK144" s="149"/>
      <c r="AL144" s="149"/>
      <c r="AM144" s="149"/>
      <c r="AN144" s="149"/>
      <c r="AO144" s="149"/>
      <c r="AP144" s="149"/>
      <c r="AQ144" s="149"/>
      <c r="AR144" s="149"/>
      <c r="AS144" s="149"/>
      <c r="AT144" s="149"/>
      <c r="AU144" s="149"/>
      <c r="AV144" s="149"/>
      <c r="AW144" s="149"/>
      <c r="AX144" s="149"/>
      <c r="AY144" s="149"/>
      <c r="AZ144" s="149"/>
      <c r="BA144" s="149"/>
      <c r="BB144" s="149"/>
      <c r="BC144" s="149"/>
      <c r="BD144" s="149"/>
      <c r="BE144" s="149"/>
      <c r="BF144" s="149"/>
      <c r="BG144" s="149"/>
      <c r="BH144" s="149"/>
      <c r="BI144" s="149"/>
      <c r="BJ144" s="149"/>
      <c r="BK144" s="149"/>
      <c r="BL144" s="149"/>
      <c r="BM144" s="149"/>
      <c r="BN144" s="149"/>
      <c r="BO144" s="149"/>
      <c r="BP144" s="149"/>
      <c r="BQ144" s="149"/>
      <c r="BR144" s="149"/>
      <c r="BS144" s="149"/>
      <c r="BT144" s="149"/>
      <c r="BU144" s="149"/>
      <c r="BV144" s="149"/>
      <c r="BW144" s="149"/>
      <c r="BX144" s="149"/>
      <c r="BY144" s="149"/>
      <c r="BZ144" s="149"/>
      <c r="CA144" s="149"/>
      <c r="CB144" s="149"/>
      <c r="CC144" s="149"/>
      <c r="CD144" s="149"/>
      <c r="CE144" s="149"/>
      <c r="CF144" s="149"/>
      <c r="CG144" s="149"/>
      <c r="CH144" s="149"/>
      <c r="CI144" s="149"/>
      <c r="CJ144" s="149"/>
      <c r="CK144" s="149"/>
      <c r="CL144" s="149"/>
      <c r="CM144" s="149"/>
      <c r="CN144" s="149"/>
      <c r="CO144" s="149"/>
      <c r="CP144" s="149"/>
      <c r="CQ144" s="149"/>
      <c r="CR144" s="149"/>
    </row>
    <row r="145" spans="1:96">
      <c r="A145" s="149"/>
      <c r="B145" s="149"/>
      <c r="C145" s="149"/>
      <c r="D145" s="149"/>
      <c r="E145" s="149"/>
      <c r="F145" s="149"/>
      <c r="G145" s="212"/>
      <c r="H145" s="212"/>
      <c r="K145" s="62"/>
      <c r="M145" s="158"/>
      <c r="N145" s="158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49"/>
      <c r="AH145" s="149"/>
      <c r="AI145" s="149"/>
      <c r="AJ145" s="149"/>
      <c r="AK145" s="149"/>
      <c r="AL145" s="149"/>
      <c r="AM145" s="149"/>
      <c r="AN145" s="149"/>
      <c r="AO145" s="149"/>
      <c r="AP145" s="149"/>
      <c r="AQ145" s="149"/>
      <c r="AR145" s="149"/>
      <c r="AS145" s="149"/>
      <c r="AT145" s="149"/>
      <c r="AU145" s="149"/>
      <c r="AV145" s="149"/>
      <c r="AW145" s="149"/>
      <c r="AX145" s="149"/>
      <c r="AY145" s="149"/>
      <c r="AZ145" s="149"/>
      <c r="BA145" s="149"/>
      <c r="BB145" s="149"/>
      <c r="BC145" s="149"/>
      <c r="BD145" s="149"/>
      <c r="BE145" s="149"/>
      <c r="BF145" s="149"/>
      <c r="BG145" s="149"/>
      <c r="BH145" s="149"/>
      <c r="BI145" s="149"/>
      <c r="BJ145" s="149"/>
      <c r="BK145" s="149"/>
      <c r="BL145" s="149"/>
      <c r="BM145" s="149"/>
      <c r="BN145" s="149"/>
      <c r="BO145" s="149"/>
      <c r="BP145" s="149"/>
      <c r="BQ145" s="149"/>
      <c r="BR145" s="149"/>
      <c r="BS145" s="149"/>
      <c r="BT145" s="149"/>
      <c r="BU145" s="149"/>
      <c r="BV145" s="149"/>
      <c r="BW145" s="149"/>
      <c r="BX145" s="149"/>
      <c r="BY145" s="149"/>
      <c r="BZ145" s="149"/>
      <c r="CA145" s="149"/>
      <c r="CB145" s="149"/>
      <c r="CC145" s="149"/>
      <c r="CD145" s="149"/>
      <c r="CE145" s="149"/>
      <c r="CF145" s="149"/>
      <c r="CG145" s="149"/>
      <c r="CH145" s="149"/>
      <c r="CI145" s="149"/>
      <c r="CJ145" s="149"/>
      <c r="CK145" s="149"/>
      <c r="CL145" s="149"/>
      <c r="CM145" s="149"/>
      <c r="CN145" s="149"/>
      <c r="CO145" s="149"/>
      <c r="CP145" s="149"/>
      <c r="CQ145" s="149"/>
      <c r="CR145" s="149"/>
    </row>
    <row r="146" spans="1:96">
      <c r="A146" s="149"/>
      <c r="B146" s="149"/>
      <c r="C146" s="149"/>
      <c r="D146" s="149"/>
      <c r="E146" s="149"/>
      <c r="F146" s="149"/>
      <c r="G146" s="212"/>
      <c r="H146" s="212"/>
      <c r="K146" s="62"/>
      <c r="M146" s="158"/>
      <c r="N146" s="158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49"/>
      <c r="AH146" s="149"/>
      <c r="AI146" s="149"/>
      <c r="AJ146" s="149"/>
      <c r="AK146" s="149"/>
      <c r="AL146" s="149"/>
      <c r="AM146" s="149"/>
      <c r="AN146" s="149"/>
      <c r="AO146" s="149"/>
      <c r="AP146" s="149"/>
      <c r="AQ146" s="149"/>
      <c r="AR146" s="149"/>
      <c r="AS146" s="149"/>
      <c r="AT146" s="149"/>
      <c r="AU146" s="149"/>
      <c r="AV146" s="149"/>
      <c r="AW146" s="149"/>
      <c r="AX146" s="149"/>
      <c r="AY146" s="149"/>
      <c r="AZ146" s="149"/>
      <c r="BA146" s="149"/>
      <c r="BB146" s="149"/>
      <c r="BC146" s="149"/>
      <c r="BD146" s="149"/>
      <c r="BE146" s="149"/>
      <c r="BF146" s="149"/>
      <c r="BG146" s="149"/>
      <c r="BH146" s="149"/>
      <c r="BI146" s="149"/>
      <c r="BJ146" s="149"/>
      <c r="BK146" s="149"/>
      <c r="BL146" s="149"/>
      <c r="BM146" s="149"/>
      <c r="BN146" s="149"/>
      <c r="BO146" s="149"/>
      <c r="BP146" s="149"/>
      <c r="BQ146" s="149"/>
      <c r="BR146" s="149"/>
      <c r="BS146" s="149"/>
      <c r="BT146" s="149"/>
      <c r="BU146" s="149"/>
      <c r="BV146" s="149"/>
      <c r="BW146" s="149"/>
      <c r="BX146" s="149"/>
      <c r="BY146" s="149"/>
      <c r="BZ146" s="149"/>
      <c r="CA146" s="149"/>
      <c r="CB146" s="149"/>
      <c r="CC146" s="149"/>
      <c r="CD146" s="149"/>
      <c r="CE146" s="149"/>
      <c r="CF146" s="149"/>
      <c r="CG146" s="149"/>
      <c r="CH146" s="149"/>
      <c r="CI146" s="149"/>
      <c r="CJ146" s="149"/>
      <c r="CK146" s="149"/>
      <c r="CL146" s="149"/>
      <c r="CM146" s="149"/>
      <c r="CN146" s="149"/>
      <c r="CO146" s="149"/>
      <c r="CP146" s="149"/>
      <c r="CQ146" s="149"/>
      <c r="CR146" s="149"/>
    </row>
    <row r="147" spans="1:96">
      <c r="A147" s="149"/>
      <c r="B147" s="149"/>
      <c r="C147" s="149"/>
      <c r="D147" s="149"/>
      <c r="E147" s="149"/>
      <c r="F147" s="149"/>
      <c r="G147" s="212"/>
      <c r="H147" s="212"/>
      <c r="K147" s="62"/>
      <c r="M147" s="158"/>
      <c r="N147" s="158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49"/>
      <c r="AH147" s="149"/>
      <c r="AI147" s="149"/>
      <c r="AJ147" s="149"/>
      <c r="AK147" s="149"/>
      <c r="AL147" s="149"/>
      <c r="AM147" s="149"/>
      <c r="AN147" s="149"/>
      <c r="AO147" s="149"/>
      <c r="AP147" s="149"/>
      <c r="AQ147" s="149"/>
      <c r="AR147" s="149"/>
      <c r="AS147" s="149"/>
      <c r="AT147" s="149"/>
      <c r="AU147" s="149"/>
      <c r="AV147" s="149"/>
      <c r="AW147" s="149"/>
      <c r="AX147" s="149"/>
      <c r="AY147" s="149"/>
      <c r="AZ147" s="149"/>
      <c r="BA147" s="149"/>
      <c r="BB147" s="149"/>
      <c r="BC147" s="149"/>
      <c r="BD147" s="149"/>
      <c r="BE147" s="149"/>
      <c r="BF147" s="149"/>
      <c r="BG147" s="149"/>
      <c r="BH147" s="149"/>
      <c r="BI147" s="149"/>
      <c r="BJ147" s="149"/>
      <c r="BK147" s="149"/>
      <c r="BL147" s="149"/>
      <c r="BM147" s="149"/>
      <c r="BN147" s="149"/>
      <c r="BO147" s="149"/>
      <c r="BP147" s="149"/>
      <c r="BQ147" s="149"/>
      <c r="BR147" s="149"/>
      <c r="BS147" s="149"/>
      <c r="BT147" s="149"/>
      <c r="BU147" s="149"/>
      <c r="BV147" s="149"/>
      <c r="BW147" s="149"/>
      <c r="BX147" s="149"/>
      <c r="BY147" s="149"/>
      <c r="BZ147" s="149"/>
      <c r="CA147" s="149"/>
      <c r="CB147" s="149"/>
      <c r="CC147" s="149"/>
      <c r="CD147" s="149"/>
      <c r="CE147" s="149"/>
      <c r="CF147" s="149"/>
      <c r="CG147" s="149"/>
      <c r="CH147" s="149"/>
      <c r="CI147" s="149"/>
      <c r="CJ147" s="149"/>
      <c r="CK147" s="149"/>
      <c r="CL147" s="149"/>
      <c r="CM147" s="149"/>
      <c r="CN147" s="149"/>
      <c r="CO147" s="149"/>
      <c r="CP147" s="149"/>
      <c r="CQ147" s="149"/>
      <c r="CR147" s="149"/>
    </row>
    <row r="148" spans="1:96">
      <c r="A148" s="149"/>
      <c r="B148" s="149"/>
      <c r="C148" s="149"/>
      <c r="D148" s="149"/>
      <c r="E148" s="149"/>
      <c r="F148" s="149"/>
      <c r="G148" s="212"/>
      <c r="H148" s="212"/>
      <c r="K148" s="62"/>
      <c r="M148" s="158"/>
      <c r="N148" s="158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49"/>
      <c r="AH148" s="149"/>
      <c r="AI148" s="149"/>
      <c r="AJ148" s="149"/>
      <c r="AK148" s="149"/>
      <c r="AL148" s="149"/>
      <c r="AM148" s="149"/>
      <c r="AN148" s="149"/>
      <c r="AO148" s="149"/>
      <c r="AP148" s="149"/>
      <c r="AQ148" s="149"/>
      <c r="AR148" s="149"/>
      <c r="AS148" s="149"/>
      <c r="AT148" s="149"/>
      <c r="AU148" s="149"/>
      <c r="AV148" s="149"/>
      <c r="AW148" s="149"/>
      <c r="AX148" s="149"/>
      <c r="AY148" s="149"/>
      <c r="AZ148" s="149"/>
      <c r="BA148" s="149"/>
      <c r="BB148" s="149"/>
      <c r="BC148" s="149"/>
      <c r="BD148" s="149"/>
      <c r="BE148" s="149"/>
      <c r="BF148" s="149"/>
      <c r="BG148" s="149"/>
      <c r="BH148" s="149"/>
      <c r="BI148" s="149"/>
      <c r="BJ148" s="149"/>
      <c r="BK148" s="149"/>
      <c r="BL148" s="149"/>
      <c r="BM148" s="149"/>
      <c r="BN148" s="149"/>
      <c r="BO148" s="149"/>
      <c r="BP148" s="149"/>
      <c r="BQ148" s="149"/>
      <c r="BR148" s="149"/>
      <c r="BS148" s="149"/>
      <c r="BT148" s="149"/>
      <c r="BU148" s="149"/>
      <c r="BV148" s="149"/>
      <c r="BW148" s="149"/>
      <c r="BX148" s="149"/>
      <c r="BY148" s="149"/>
      <c r="BZ148" s="149"/>
      <c r="CA148" s="149"/>
      <c r="CB148" s="149"/>
      <c r="CC148" s="149"/>
      <c r="CD148" s="149"/>
      <c r="CE148" s="149"/>
      <c r="CF148" s="149"/>
      <c r="CG148" s="149"/>
      <c r="CH148" s="149"/>
      <c r="CI148" s="149"/>
      <c r="CJ148" s="149"/>
      <c r="CK148" s="149"/>
      <c r="CL148" s="149"/>
      <c r="CM148" s="149"/>
      <c r="CN148" s="149"/>
      <c r="CO148" s="149"/>
      <c r="CP148" s="149"/>
      <c r="CQ148" s="149"/>
      <c r="CR148" s="149"/>
    </row>
    <row r="149" spans="1:96">
      <c r="A149" s="149"/>
      <c r="B149" s="149"/>
      <c r="C149" s="149"/>
      <c r="D149" s="149"/>
      <c r="E149" s="149"/>
      <c r="F149" s="149"/>
      <c r="G149" s="212"/>
      <c r="H149" s="212"/>
      <c r="K149" s="62"/>
      <c r="M149" s="158"/>
      <c r="N149" s="158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49"/>
      <c r="AH149" s="149"/>
      <c r="AI149" s="149"/>
      <c r="AJ149" s="149"/>
      <c r="AK149" s="149"/>
      <c r="AL149" s="149"/>
      <c r="AM149" s="149"/>
      <c r="AN149" s="149"/>
      <c r="AO149" s="149"/>
      <c r="AP149" s="149"/>
      <c r="AQ149" s="149"/>
      <c r="AR149" s="149"/>
      <c r="AS149" s="149"/>
      <c r="AT149" s="149"/>
      <c r="AU149" s="149"/>
      <c r="AV149" s="149"/>
      <c r="AW149" s="149"/>
      <c r="AX149" s="149"/>
      <c r="AY149" s="149"/>
      <c r="AZ149" s="149"/>
      <c r="BA149" s="149"/>
      <c r="BB149" s="149"/>
      <c r="BC149" s="149"/>
      <c r="BD149" s="149"/>
      <c r="BE149" s="149"/>
      <c r="BF149" s="149"/>
      <c r="BG149" s="149"/>
      <c r="BH149" s="149"/>
      <c r="BI149" s="149"/>
      <c r="BJ149" s="149"/>
      <c r="BK149" s="149"/>
      <c r="BL149" s="149"/>
      <c r="BM149" s="149"/>
      <c r="BN149" s="149"/>
      <c r="BO149" s="149"/>
      <c r="BP149" s="149"/>
      <c r="BQ149" s="149"/>
      <c r="BR149" s="149"/>
      <c r="BS149" s="149"/>
      <c r="BT149" s="149"/>
      <c r="BU149" s="149"/>
      <c r="BV149" s="149"/>
      <c r="BW149" s="149"/>
      <c r="BX149" s="149"/>
      <c r="BY149" s="149"/>
      <c r="BZ149" s="149"/>
      <c r="CA149" s="149"/>
      <c r="CB149" s="149"/>
      <c r="CC149" s="149"/>
      <c r="CD149" s="149"/>
      <c r="CE149" s="149"/>
      <c r="CF149" s="149"/>
      <c r="CG149" s="149"/>
      <c r="CH149" s="149"/>
      <c r="CI149" s="149"/>
      <c r="CJ149" s="149"/>
      <c r="CK149" s="149"/>
      <c r="CL149" s="149"/>
      <c r="CM149" s="149"/>
      <c r="CN149" s="149"/>
      <c r="CO149" s="149"/>
      <c r="CP149" s="149"/>
      <c r="CQ149" s="149"/>
      <c r="CR149" s="149"/>
    </row>
    <row r="150" spans="1:96">
      <c r="A150" s="149"/>
      <c r="B150" s="149"/>
      <c r="C150" s="149"/>
      <c r="D150" s="149"/>
      <c r="E150" s="149"/>
      <c r="F150" s="149"/>
      <c r="G150" s="212"/>
      <c r="H150" s="212"/>
      <c r="K150" s="62"/>
      <c r="M150" s="158"/>
      <c r="N150" s="158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49"/>
      <c r="AH150" s="149"/>
      <c r="AI150" s="149"/>
      <c r="AJ150" s="149"/>
      <c r="AK150" s="149"/>
      <c r="AL150" s="149"/>
      <c r="AM150" s="149"/>
      <c r="AN150" s="149"/>
      <c r="AO150" s="149"/>
      <c r="AP150" s="149"/>
      <c r="AQ150" s="149"/>
      <c r="AR150" s="149"/>
      <c r="AS150" s="149"/>
      <c r="AT150" s="149"/>
      <c r="AU150" s="149"/>
      <c r="AV150" s="149"/>
      <c r="AW150" s="149"/>
      <c r="AX150" s="149"/>
      <c r="AY150" s="149"/>
      <c r="AZ150" s="149"/>
      <c r="BA150" s="149"/>
      <c r="BB150" s="149"/>
      <c r="BC150" s="149"/>
      <c r="BD150" s="149"/>
      <c r="BE150" s="149"/>
      <c r="BF150" s="149"/>
      <c r="BG150" s="149"/>
      <c r="BH150" s="149"/>
      <c r="BI150" s="149"/>
      <c r="BJ150" s="149"/>
      <c r="BK150" s="149"/>
      <c r="BL150" s="149"/>
      <c r="BM150" s="149"/>
      <c r="BN150" s="149"/>
      <c r="BO150" s="149"/>
      <c r="BP150" s="149"/>
      <c r="BQ150" s="149"/>
      <c r="BR150" s="149"/>
      <c r="BS150" s="149"/>
      <c r="BT150" s="149"/>
      <c r="BU150" s="149"/>
      <c r="BV150" s="149"/>
      <c r="BW150" s="149"/>
      <c r="BX150" s="149"/>
      <c r="BY150" s="149"/>
      <c r="BZ150" s="149"/>
      <c r="CA150" s="149"/>
      <c r="CB150" s="149"/>
      <c r="CC150" s="149"/>
      <c r="CD150" s="149"/>
      <c r="CE150" s="149"/>
      <c r="CF150" s="149"/>
      <c r="CG150" s="149"/>
      <c r="CH150" s="149"/>
      <c r="CI150" s="149"/>
      <c r="CJ150" s="149"/>
      <c r="CK150" s="149"/>
      <c r="CL150" s="149"/>
      <c r="CM150" s="149"/>
      <c r="CN150" s="149"/>
      <c r="CO150" s="149"/>
      <c r="CP150" s="149"/>
      <c r="CQ150" s="149"/>
      <c r="CR150" s="149"/>
    </row>
    <row r="151" spans="1:96">
      <c r="A151" s="149"/>
      <c r="B151" s="149"/>
      <c r="C151" s="149"/>
      <c r="D151" s="149"/>
      <c r="E151" s="149"/>
      <c r="F151" s="149"/>
      <c r="G151" s="212"/>
      <c r="H151" s="212"/>
      <c r="K151" s="62"/>
      <c r="M151" s="158"/>
      <c r="N151" s="158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49"/>
      <c r="AH151" s="149"/>
      <c r="AI151" s="149"/>
      <c r="AJ151" s="149"/>
      <c r="AK151" s="149"/>
      <c r="AL151" s="149"/>
      <c r="AM151" s="149"/>
      <c r="AN151" s="149"/>
      <c r="AO151" s="149"/>
      <c r="AP151" s="149"/>
      <c r="AQ151" s="149"/>
      <c r="AR151" s="149"/>
      <c r="AS151" s="149"/>
      <c r="AT151" s="149"/>
      <c r="AU151" s="149"/>
      <c r="AV151" s="149"/>
      <c r="AW151" s="149"/>
      <c r="AX151" s="149"/>
      <c r="AY151" s="149"/>
      <c r="AZ151" s="149"/>
      <c r="BA151" s="149"/>
      <c r="BB151" s="149"/>
      <c r="BC151" s="149"/>
      <c r="BD151" s="149"/>
      <c r="BE151" s="149"/>
      <c r="BF151" s="149"/>
      <c r="BG151" s="149"/>
      <c r="BH151" s="149"/>
      <c r="BI151" s="149"/>
      <c r="BJ151" s="149"/>
      <c r="BK151" s="149"/>
      <c r="BL151" s="149"/>
      <c r="BM151" s="149"/>
      <c r="BN151" s="149"/>
      <c r="BO151" s="149"/>
      <c r="BP151" s="149"/>
      <c r="BQ151" s="149"/>
      <c r="BR151" s="149"/>
      <c r="BS151" s="149"/>
      <c r="BT151" s="149"/>
      <c r="BU151" s="149"/>
      <c r="BV151" s="149"/>
      <c r="BW151" s="149"/>
      <c r="BX151" s="149"/>
      <c r="BY151" s="149"/>
      <c r="BZ151" s="149"/>
      <c r="CA151" s="149"/>
      <c r="CB151" s="149"/>
      <c r="CC151" s="149"/>
      <c r="CD151" s="149"/>
      <c r="CE151" s="149"/>
      <c r="CF151" s="149"/>
      <c r="CG151" s="149"/>
      <c r="CH151" s="149"/>
      <c r="CI151" s="149"/>
      <c r="CJ151" s="149"/>
      <c r="CK151" s="149"/>
      <c r="CL151" s="149"/>
      <c r="CM151" s="149"/>
      <c r="CN151" s="149"/>
      <c r="CO151" s="149"/>
      <c r="CP151" s="149"/>
      <c r="CQ151" s="149"/>
      <c r="CR151" s="149"/>
    </row>
    <row r="152" spans="1:96">
      <c r="A152" s="149"/>
      <c r="B152" s="149"/>
      <c r="C152" s="149"/>
      <c r="D152" s="149"/>
      <c r="E152" s="149"/>
      <c r="F152" s="149"/>
      <c r="G152" s="212"/>
      <c r="H152" s="212"/>
      <c r="K152" s="62"/>
      <c r="M152" s="158"/>
      <c r="N152" s="158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49"/>
      <c r="AH152" s="149"/>
      <c r="AI152" s="149"/>
      <c r="AJ152" s="149"/>
      <c r="AK152" s="149"/>
      <c r="AL152" s="149"/>
      <c r="AM152" s="149"/>
      <c r="AN152" s="149"/>
      <c r="AO152" s="149"/>
      <c r="AP152" s="149"/>
      <c r="AQ152" s="149"/>
      <c r="AR152" s="149"/>
      <c r="AS152" s="149"/>
      <c r="AT152" s="149"/>
      <c r="AU152" s="149"/>
      <c r="AV152" s="149"/>
      <c r="AW152" s="149"/>
      <c r="AX152" s="149"/>
      <c r="AY152" s="149"/>
      <c r="AZ152" s="149"/>
      <c r="BA152" s="149"/>
      <c r="BB152" s="149"/>
      <c r="BC152" s="149"/>
      <c r="BD152" s="149"/>
      <c r="BE152" s="149"/>
      <c r="BF152" s="149"/>
      <c r="BG152" s="149"/>
      <c r="BH152" s="149"/>
      <c r="BI152" s="149"/>
      <c r="BJ152" s="149"/>
      <c r="BK152" s="149"/>
      <c r="BL152" s="149"/>
      <c r="BM152" s="149"/>
      <c r="BN152" s="149"/>
      <c r="BO152" s="149"/>
      <c r="BP152" s="149"/>
      <c r="BQ152" s="149"/>
      <c r="BR152" s="149"/>
      <c r="BS152" s="149"/>
      <c r="BT152" s="149"/>
      <c r="BU152" s="149"/>
      <c r="BV152" s="149"/>
      <c r="BW152" s="149"/>
      <c r="BX152" s="149"/>
      <c r="BY152" s="149"/>
      <c r="BZ152" s="149"/>
      <c r="CA152" s="149"/>
      <c r="CB152" s="149"/>
      <c r="CC152" s="149"/>
      <c r="CD152" s="149"/>
      <c r="CE152" s="149"/>
      <c r="CF152" s="149"/>
      <c r="CG152" s="149"/>
      <c r="CH152" s="149"/>
      <c r="CI152" s="149"/>
      <c r="CJ152" s="149"/>
      <c r="CK152" s="149"/>
      <c r="CL152" s="149"/>
      <c r="CM152" s="149"/>
      <c r="CN152" s="149"/>
      <c r="CO152" s="149"/>
      <c r="CP152" s="149"/>
      <c r="CQ152" s="149"/>
      <c r="CR152" s="149"/>
    </row>
    <row r="153" spans="1:96">
      <c r="A153" s="149"/>
      <c r="B153" s="149"/>
      <c r="C153" s="149"/>
      <c r="D153" s="149"/>
      <c r="E153" s="149"/>
      <c r="F153" s="149"/>
      <c r="G153" s="212"/>
      <c r="H153" s="212"/>
      <c r="K153" s="62"/>
      <c r="M153" s="158"/>
      <c r="N153" s="158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49"/>
      <c r="AH153" s="149"/>
      <c r="AI153" s="149"/>
      <c r="AJ153" s="149"/>
      <c r="AK153" s="149"/>
      <c r="AL153" s="149"/>
      <c r="AM153" s="149"/>
      <c r="AN153" s="149"/>
      <c r="AO153" s="149"/>
      <c r="AP153" s="149"/>
      <c r="AQ153" s="149"/>
      <c r="AR153" s="149"/>
      <c r="AS153" s="149"/>
      <c r="AT153" s="149"/>
      <c r="AU153" s="149"/>
      <c r="AV153" s="149"/>
      <c r="AW153" s="149"/>
      <c r="AX153" s="149"/>
      <c r="AY153" s="149"/>
      <c r="AZ153" s="149"/>
      <c r="BA153" s="149"/>
      <c r="BB153" s="149"/>
      <c r="BC153" s="149"/>
      <c r="BD153" s="149"/>
      <c r="BE153" s="149"/>
      <c r="BF153" s="149"/>
      <c r="BG153" s="149"/>
      <c r="BH153" s="149"/>
      <c r="BI153" s="149"/>
      <c r="BJ153" s="149"/>
      <c r="BK153" s="149"/>
      <c r="BL153" s="149"/>
      <c r="BM153" s="149"/>
      <c r="BN153" s="149"/>
      <c r="BO153" s="149"/>
      <c r="BP153" s="149"/>
      <c r="BQ153" s="149"/>
      <c r="BR153" s="149"/>
      <c r="BS153" s="149"/>
      <c r="BT153" s="149"/>
      <c r="BU153" s="149"/>
      <c r="BV153" s="149"/>
      <c r="BW153" s="149"/>
      <c r="BX153" s="149"/>
      <c r="BY153" s="149"/>
      <c r="BZ153" s="149"/>
      <c r="CA153" s="149"/>
      <c r="CB153" s="149"/>
      <c r="CC153" s="149"/>
      <c r="CD153" s="149"/>
      <c r="CE153" s="149"/>
      <c r="CF153" s="149"/>
      <c r="CG153" s="149"/>
      <c r="CH153" s="149"/>
      <c r="CI153" s="149"/>
      <c r="CJ153" s="149"/>
      <c r="CK153" s="149"/>
      <c r="CL153" s="149"/>
      <c r="CM153" s="149"/>
      <c r="CN153" s="149"/>
      <c r="CO153" s="149"/>
      <c r="CP153" s="149"/>
      <c r="CQ153" s="149"/>
      <c r="CR153" s="149"/>
    </row>
    <row r="154" spans="1:96">
      <c r="A154" s="149"/>
      <c r="B154" s="149"/>
      <c r="C154" s="149"/>
      <c r="D154" s="149"/>
      <c r="E154" s="149"/>
      <c r="F154" s="149"/>
      <c r="G154" s="212"/>
      <c r="H154" s="212"/>
      <c r="K154" s="62"/>
      <c r="M154" s="158"/>
      <c r="N154" s="158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49"/>
      <c r="AH154" s="149"/>
      <c r="AI154" s="149"/>
      <c r="AJ154" s="149"/>
      <c r="AK154" s="149"/>
      <c r="AL154" s="149"/>
      <c r="AM154" s="149"/>
      <c r="AN154" s="149"/>
      <c r="AO154" s="149"/>
      <c r="AP154" s="149"/>
      <c r="AQ154" s="149"/>
      <c r="AR154" s="149"/>
      <c r="AS154" s="149"/>
      <c r="AT154" s="149"/>
      <c r="AU154" s="149"/>
      <c r="AV154" s="149"/>
      <c r="AW154" s="149"/>
      <c r="AX154" s="149"/>
      <c r="AY154" s="149"/>
      <c r="AZ154" s="149"/>
      <c r="BA154" s="149"/>
      <c r="BB154" s="149"/>
      <c r="BC154" s="149"/>
      <c r="BD154" s="149"/>
      <c r="BE154" s="149"/>
      <c r="BF154" s="149"/>
      <c r="BG154" s="149"/>
      <c r="BH154" s="149"/>
      <c r="BI154" s="149"/>
      <c r="BJ154" s="149"/>
      <c r="BK154" s="149"/>
      <c r="BL154" s="149"/>
      <c r="BM154" s="149"/>
      <c r="BN154" s="149"/>
      <c r="BO154" s="149"/>
      <c r="BP154" s="149"/>
      <c r="BQ154" s="149"/>
      <c r="BR154" s="149"/>
      <c r="BS154" s="149"/>
      <c r="BT154" s="149"/>
      <c r="BU154" s="149"/>
      <c r="BV154" s="149"/>
      <c r="BW154" s="149"/>
      <c r="BX154" s="149"/>
      <c r="BY154" s="149"/>
      <c r="BZ154" s="149"/>
      <c r="CA154" s="149"/>
      <c r="CB154" s="149"/>
      <c r="CC154" s="149"/>
      <c r="CD154" s="149"/>
      <c r="CE154" s="149"/>
      <c r="CF154" s="149"/>
      <c r="CG154" s="149"/>
      <c r="CH154" s="149"/>
      <c r="CI154" s="149"/>
      <c r="CJ154" s="149"/>
      <c r="CK154" s="149"/>
      <c r="CL154" s="149"/>
      <c r="CM154" s="149"/>
      <c r="CN154" s="149"/>
      <c r="CO154" s="149"/>
      <c r="CP154" s="149"/>
      <c r="CQ154" s="149"/>
      <c r="CR154" s="149"/>
    </row>
    <row r="155" spans="1:96">
      <c r="A155" s="149"/>
      <c r="B155" s="149"/>
      <c r="C155" s="149"/>
      <c r="D155" s="149"/>
      <c r="E155" s="149"/>
      <c r="F155" s="149"/>
      <c r="G155" s="212"/>
      <c r="H155" s="212"/>
      <c r="K155" s="62"/>
      <c r="M155" s="158"/>
      <c r="N155" s="158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49"/>
      <c r="AH155" s="149"/>
      <c r="AI155" s="149"/>
      <c r="AJ155" s="149"/>
      <c r="AK155" s="149"/>
      <c r="AL155" s="149"/>
      <c r="AM155" s="149"/>
      <c r="AN155" s="149"/>
      <c r="AO155" s="149"/>
      <c r="AP155" s="149"/>
      <c r="AQ155" s="149"/>
      <c r="AR155" s="149"/>
      <c r="AS155" s="149"/>
      <c r="AT155" s="149"/>
      <c r="AU155" s="149"/>
      <c r="AV155" s="149"/>
      <c r="AW155" s="149"/>
      <c r="AX155" s="149"/>
      <c r="AY155" s="149"/>
      <c r="AZ155" s="149"/>
      <c r="BA155" s="149"/>
      <c r="BB155" s="149"/>
      <c r="BC155" s="149"/>
      <c r="BD155" s="149"/>
      <c r="BE155" s="149"/>
      <c r="BF155" s="149"/>
      <c r="BG155" s="149"/>
      <c r="BH155" s="149"/>
      <c r="BI155" s="149"/>
      <c r="BJ155" s="149"/>
      <c r="BK155" s="149"/>
      <c r="BL155" s="149"/>
      <c r="BM155" s="149"/>
      <c r="BN155" s="149"/>
      <c r="BO155" s="149"/>
      <c r="BP155" s="149"/>
      <c r="BQ155" s="149"/>
      <c r="BR155" s="149"/>
      <c r="BS155" s="149"/>
      <c r="BT155" s="149"/>
      <c r="BU155" s="149"/>
      <c r="BV155" s="149"/>
      <c r="BW155" s="149"/>
      <c r="BX155" s="149"/>
      <c r="BY155" s="149"/>
      <c r="BZ155" s="149"/>
      <c r="CA155" s="149"/>
      <c r="CB155" s="149"/>
      <c r="CC155" s="149"/>
      <c r="CD155" s="149"/>
      <c r="CE155" s="149"/>
      <c r="CF155" s="149"/>
      <c r="CG155" s="149"/>
      <c r="CH155" s="149"/>
      <c r="CI155" s="149"/>
      <c r="CJ155" s="149"/>
      <c r="CK155" s="149"/>
      <c r="CL155" s="149"/>
      <c r="CM155" s="149"/>
      <c r="CN155" s="149"/>
      <c r="CO155" s="149"/>
      <c r="CP155" s="149"/>
      <c r="CQ155" s="149"/>
      <c r="CR155" s="149"/>
    </row>
    <row r="156" spans="1:96">
      <c r="A156" s="149"/>
      <c r="B156" s="149"/>
      <c r="C156" s="149"/>
      <c r="D156" s="149"/>
      <c r="E156" s="149"/>
      <c r="F156" s="149"/>
      <c r="G156" s="212"/>
      <c r="H156" s="212"/>
      <c r="K156" s="62"/>
      <c r="M156" s="158"/>
      <c r="N156" s="158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49"/>
      <c r="AH156" s="149"/>
      <c r="AI156" s="149"/>
      <c r="AJ156" s="149"/>
      <c r="AK156" s="149"/>
      <c r="AL156" s="149"/>
      <c r="AM156" s="149"/>
      <c r="AN156" s="149"/>
      <c r="AO156" s="149"/>
      <c r="AP156" s="149"/>
      <c r="AQ156" s="149"/>
      <c r="AR156" s="149"/>
      <c r="AS156" s="149"/>
      <c r="AT156" s="149"/>
      <c r="AU156" s="149"/>
      <c r="AV156" s="149"/>
      <c r="AW156" s="149"/>
      <c r="AX156" s="149"/>
      <c r="AY156" s="149"/>
      <c r="AZ156" s="149"/>
      <c r="BA156" s="149"/>
      <c r="BB156" s="149"/>
      <c r="BC156" s="149"/>
      <c r="BD156" s="149"/>
      <c r="BE156" s="149"/>
      <c r="BF156" s="149"/>
      <c r="BG156" s="149"/>
      <c r="BH156" s="149"/>
      <c r="BI156" s="149"/>
      <c r="BJ156" s="149"/>
      <c r="BK156" s="149"/>
      <c r="BL156" s="149"/>
      <c r="BM156" s="149"/>
      <c r="BN156" s="149"/>
      <c r="BO156" s="149"/>
      <c r="BP156" s="149"/>
      <c r="BQ156" s="149"/>
      <c r="BR156" s="149"/>
      <c r="BS156" s="149"/>
      <c r="BT156" s="149"/>
      <c r="BU156" s="149"/>
      <c r="BV156" s="149"/>
      <c r="BW156" s="149"/>
      <c r="BX156" s="149"/>
      <c r="BY156" s="149"/>
      <c r="BZ156" s="149"/>
      <c r="CA156" s="149"/>
      <c r="CB156" s="149"/>
      <c r="CC156" s="149"/>
      <c r="CD156" s="149"/>
      <c r="CE156" s="149"/>
      <c r="CF156" s="149"/>
      <c r="CG156" s="149"/>
      <c r="CH156" s="149"/>
      <c r="CI156" s="149"/>
      <c r="CJ156" s="149"/>
      <c r="CK156" s="149"/>
      <c r="CL156" s="149"/>
      <c r="CM156" s="149"/>
      <c r="CN156" s="149"/>
      <c r="CO156" s="149"/>
      <c r="CP156" s="149"/>
      <c r="CQ156" s="149"/>
      <c r="CR156" s="149"/>
    </row>
    <row r="157" spans="1:96">
      <c r="A157" s="149"/>
      <c r="B157" s="149"/>
      <c r="C157" s="149"/>
      <c r="D157" s="149"/>
      <c r="E157" s="149"/>
      <c r="F157" s="149"/>
      <c r="G157" s="212"/>
      <c r="H157" s="212"/>
      <c r="K157" s="62"/>
      <c r="M157" s="158"/>
      <c r="N157" s="158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49"/>
      <c r="AH157" s="149"/>
      <c r="AI157" s="149"/>
      <c r="AJ157" s="149"/>
      <c r="AK157" s="149"/>
      <c r="AL157" s="149"/>
      <c r="AM157" s="149"/>
      <c r="AN157" s="149"/>
      <c r="AO157" s="149"/>
      <c r="AP157" s="149"/>
      <c r="AQ157" s="149"/>
      <c r="AR157" s="149"/>
      <c r="AS157" s="149"/>
      <c r="AT157" s="149"/>
      <c r="AU157" s="149"/>
      <c r="AV157" s="149"/>
      <c r="AW157" s="149"/>
      <c r="AX157" s="149"/>
      <c r="AY157" s="149"/>
      <c r="AZ157" s="149"/>
      <c r="BA157" s="149"/>
      <c r="BB157" s="149"/>
      <c r="BC157" s="149"/>
      <c r="BD157" s="149"/>
      <c r="BE157" s="149"/>
      <c r="BF157" s="149"/>
      <c r="BG157" s="149"/>
      <c r="BH157" s="149"/>
      <c r="BI157" s="149"/>
      <c r="BJ157" s="149"/>
      <c r="BK157" s="149"/>
      <c r="BL157" s="149"/>
      <c r="BM157" s="149"/>
      <c r="BN157" s="149"/>
      <c r="BO157" s="149"/>
      <c r="BP157" s="149"/>
      <c r="BQ157" s="149"/>
      <c r="BR157" s="149"/>
      <c r="BS157" s="149"/>
      <c r="BT157" s="149"/>
      <c r="BU157" s="149"/>
      <c r="BV157" s="149"/>
      <c r="BW157" s="149"/>
      <c r="BX157" s="149"/>
      <c r="BY157" s="149"/>
      <c r="BZ157" s="149"/>
      <c r="CA157" s="149"/>
      <c r="CB157" s="149"/>
      <c r="CC157" s="149"/>
      <c r="CD157" s="149"/>
      <c r="CE157" s="149"/>
      <c r="CF157" s="149"/>
      <c r="CG157" s="149"/>
      <c r="CH157" s="149"/>
      <c r="CI157" s="149"/>
      <c r="CJ157" s="149"/>
      <c r="CK157" s="149"/>
      <c r="CL157" s="149"/>
      <c r="CM157" s="149"/>
      <c r="CN157" s="149"/>
      <c r="CO157" s="149"/>
      <c r="CP157" s="149"/>
      <c r="CQ157" s="149"/>
      <c r="CR157" s="149"/>
    </row>
    <row r="158" spans="1:96">
      <c r="A158" s="149"/>
      <c r="B158" s="149"/>
      <c r="C158" s="149"/>
      <c r="D158" s="149"/>
      <c r="E158" s="149"/>
      <c r="F158" s="149"/>
      <c r="G158" s="212"/>
      <c r="H158" s="212"/>
      <c r="K158" s="62"/>
      <c r="M158" s="158"/>
      <c r="N158" s="158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  <c r="AC158" s="149"/>
      <c r="AD158" s="149"/>
      <c r="AE158" s="149"/>
      <c r="AF158" s="149"/>
      <c r="AG158" s="149"/>
      <c r="AH158" s="149"/>
      <c r="AI158" s="149"/>
      <c r="AJ158" s="149"/>
      <c r="AK158" s="149"/>
      <c r="AL158" s="149"/>
      <c r="AM158" s="149"/>
      <c r="AN158" s="149"/>
      <c r="AO158" s="149"/>
      <c r="AP158" s="149"/>
      <c r="AQ158" s="149"/>
      <c r="AR158" s="149"/>
      <c r="AS158" s="149"/>
      <c r="AT158" s="149"/>
      <c r="AU158" s="149"/>
      <c r="AV158" s="149"/>
      <c r="AW158" s="149"/>
      <c r="AX158" s="149"/>
      <c r="AY158" s="149"/>
      <c r="AZ158" s="149"/>
      <c r="BA158" s="149"/>
      <c r="BB158" s="149"/>
      <c r="BC158" s="149"/>
      <c r="BD158" s="149"/>
      <c r="BE158" s="149"/>
      <c r="BF158" s="149"/>
      <c r="BG158" s="149"/>
      <c r="BH158" s="149"/>
      <c r="BI158" s="149"/>
      <c r="BJ158" s="149"/>
      <c r="BK158" s="149"/>
      <c r="BL158" s="149"/>
      <c r="BM158" s="149"/>
      <c r="BN158" s="149"/>
      <c r="BO158" s="149"/>
      <c r="BP158" s="149"/>
      <c r="BQ158" s="149"/>
      <c r="BR158" s="149"/>
      <c r="BS158" s="149"/>
      <c r="BT158" s="149"/>
      <c r="BU158" s="149"/>
      <c r="BV158" s="149"/>
      <c r="BW158" s="149"/>
      <c r="BX158" s="149"/>
      <c r="BY158" s="149"/>
      <c r="BZ158" s="149"/>
      <c r="CA158" s="149"/>
      <c r="CB158" s="149"/>
      <c r="CC158" s="149"/>
      <c r="CD158" s="149"/>
      <c r="CE158" s="149"/>
      <c r="CF158" s="149"/>
      <c r="CG158" s="149"/>
      <c r="CH158" s="149"/>
      <c r="CI158" s="149"/>
      <c r="CJ158" s="149"/>
      <c r="CK158" s="149"/>
      <c r="CL158" s="149"/>
      <c r="CM158" s="149"/>
      <c r="CN158" s="149"/>
      <c r="CO158" s="149"/>
      <c r="CP158" s="149"/>
      <c r="CQ158" s="149"/>
      <c r="CR158" s="149"/>
    </row>
    <row r="159" spans="1:96">
      <c r="A159" s="149"/>
      <c r="B159" s="149"/>
      <c r="C159" s="149"/>
      <c r="D159" s="149"/>
      <c r="E159" s="149"/>
      <c r="F159" s="149"/>
      <c r="G159" s="212"/>
      <c r="H159" s="212"/>
      <c r="K159" s="62"/>
      <c r="M159" s="158"/>
      <c r="N159" s="158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  <c r="AC159" s="149"/>
      <c r="AD159" s="149"/>
      <c r="AE159" s="149"/>
      <c r="AF159" s="149"/>
      <c r="AG159" s="149"/>
      <c r="AH159" s="149"/>
      <c r="AI159" s="149"/>
      <c r="AJ159" s="149"/>
      <c r="AK159" s="149"/>
      <c r="AL159" s="149"/>
      <c r="AM159" s="149"/>
      <c r="AN159" s="149"/>
      <c r="AO159" s="149"/>
      <c r="AP159" s="149"/>
      <c r="AQ159" s="149"/>
      <c r="AR159" s="149"/>
      <c r="AS159" s="149"/>
      <c r="AT159" s="149"/>
      <c r="AU159" s="149"/>
      <c r="AV159" s="149"/>
      <c r="AW159" s="149"/>
      <c r="AX159" s="149"/>
      <c r="AY159" s="149"/>
      <c r="AZ159" s="149"/>
      <c r="BA159" s="149"/>
      <c r="BB159" s="149"/>
      <c r="BC159" s="149"/>
      <c r="BD159" s="149"/>
      <c r="BE159" s="149"/>
      <c r="BF159" s="149"/>
      <c r="BG159" s="149"/>
      <c r="BH159" s="149"/>
      <c r="BI159" s="149"/>
      <c r="BJ159" s="149"/>
      <c r="BK159" s="149"/>
      <c r="BL159" s="149"/>
      <c r="BM159" s="149"/>
      <c r="BN159" s="149"/>
      <c r="BO159" s="149"/>
      <c r="BP159" s="149"/>
      <c r="BQ159" s="149"/>
      <c r="BR159" s="149"/>
      <c r="BS159" s="149"/>
      <c r="BT159" s="149"/>
      <c r="BU159" s="149"/>
      <c r="BV159" s="149"/>
      <c r="BW159" s="149"/>
      <c r="BX159" s="149"/>
      <c r="BY159" s="149"/>
      <c r="BZ159" s="149"/>
      <c r="CA159" s="149"/>
      <c r="CB159" s="149"/>
      <c r="CC159" s="149"/>
      <c r="CD159" s="149"/>
      <c r="CE159" s="149"/>
      <c r="CF159" s="149"/>
      <c r="CG159" s="149"/>
      <c r="CH159" s="149"/>
      <c r="CI159" s="149"/>
      <c r="CJ159" s="149"/>
      <c r="CK159" s="149"/>
      <c r="CL159" s="149"/>
      <c r="CM159" s="149"/>
      <c r="CN159" s="149"/>
      <c r="CO159" s="149"/>
      <c r="CP159" s="149"/>
      <c r="CQ159" s="149"/>
      <c r="CR159" s="149"/>
    </row>
    <row r="160" spans="1:96">
      <c r="A160" s="149"/>
      <c r="B160" s="149"/>
      <c r="C160" s="149"/>
      <c r="D160" s="149"/>
      <c r="E160" s="149"/>
      <c r="F160" s="149"/>
      <c r="G160" s="212"/>
      <c r="H160" s="212"/>
      <c r="K160" s="62"/>
      <c r="M160" s="158"/>
      <c r="N160" s="158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  <c r="AC160" s="149"/>
      <c r="AD160" s="149"/>
      <c r="AE160" s="149"/>
      <c r="AF160" s="149"/>
      <c r="AG160" s="149"/>
      <c r="AH160" s="149"/>
      <c r="AI160" s="149"/>
      <c r="AJ160" s="149"/>
      <c r="AK160" s="149"/>
      <c r="AL160" s="149"/>
      <c r="AM160" s="149"/>
      <c r="AN160" s="149"/>
      <c r="AO160" s="149"/>
      <c r="AP160" s="149"/>
      <c r="AQ160" s="149"/>
      <c r="AR160" s="149"/>
      <c r="AS160" s="149"/>
      <c r="AT160" s="149"/>
      <c r="AU160" s="149"/>
      <c r="AV160" s="149"/>
      <c r="AW160" s="149"/>
      <c r="AX160" s="149"/>
      <c r="AY160" s="149"/>
      <c r="AZ160" s="149"/>
      <c r="BA160" s="149"/>
      <c r="BB160" s="149"/>
      <c r="BC160" s="149"/>
      <c r="BD160" s="149"/>
      <c r="BE160" s="149"/>
      <c r="BF160" s="149"/>
      <c r="BG160" s="149"/>
      <c r="BH160" s="149"/>
      <c r="BI160" s="149"/>
      <c r="BJ160" s="149"/>
      <c r="BK160" s="149"/>
      <c r="BL160" s="149"/>
      <c r="BM160" s="149"/>
      <c r="BN160" s="149"/>
      <c r="BO160" s="149"/>
      <c r="BP160" s="149"/>
      <c r="BQ160" s="149"/>
      <c r="BR160" s="149"/>
      <c r="BS160" s="149"/>
      <c r="BT160" s="149"/>
      <c r="BU160" s="149"/>
      <c r="BV160" s="149"/>
      <c r="BW160" s="149"/>
      <c r="BX160" s="149"/>
      <c r="BY160" s="149"/>
      <c r="BZ160" s="149"/>
      <c r="CA160" s="149"/>
      <c r="CB160" s="149"/>
      <c r="CC160" s="149"/>
      <c r="CD160" s="149"/>
      <c r="CE160" s="149"/>
      <c r="CF160" s="149"/>
      <c r="CG160" s="149"/>
      <c r="CH160" s="149"/>
      <c r="CI160" s="149"/>
      <c r="CJ160" s="149"/>
      <c r="CK160" s="149"/>
      <c r="CL160" s="149"/>
      <c r="CM160" s="149"/>
      <c r="CN160" s="149"/>
      <c r="CO160" s="149"/>
      <c r="CP160" s="149"/>
      <c r="CQ160" s="149"/>
      <c r="CR160" s="149"/>
    </row>
    <row r="161" spans="1:96">
      <c r="A161" s="149"/>
      <c r="B161" s="149"/>
      <c r="C161" s="149"/>
      <c r="D161" s="149"/>
      <c r="E161" s="149"/>
      <c r="F161" s="149"/>
      <c r="G161" s="212"/>
      <c r="H161" s="212"/>
      <c r="K161" s="62"/>
      <c r="M161" s="158"/>
      <c r="N161" s="158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  <c r="AC161" s="149"/>
      <c r="AD161" s="149"/>
      <c r="AE161" s="149"/>
      <c r="AF161" s="149"/>
      <c r="AG161" s="149"/>
      <c r="AH161" s="149"/>
      <c r="AI161" s="149"/>
      <c r="AJ161" s="149"/>
      <c r="AK161" s="149"/>
      <c r="AL161" s="149"/>
      <c r="AM161" s="149"/>
      <c r="AN161" s="149"/>
      <c r="AO161" s="149"/>
      <c r="AP161" s="149"/>
      <c r="AQ161" s="149"/>
      <c r="AR161" s="149"/>
      <c r="AS161" s="149"/>
      <c r="AT161" s="149"/>
      <c r="AU161" s="149"/>
      <c r="AV161" s="149"/>
      <c r="AW161" s="149"/>
      <c r="AX161" s="149"/>
      <c r="AY161" s="149"/>
      <c r="AZ161" s="149"/>
      <c r="BA161" s="149"/>
      <c r="BB161" s="149"/>
      <c r="BC161" s="149"/>
      <c r="BD161" s="149"/>
      <c r="BE161" s="149"/>
      <c r="BF161" s="149"/>
      <c r="BG161" s="149"/>
      <c r="BH161" s="149"/>
      <c r="BI161" s="149"/>
      <c r="BJ161" s="149"/>
      <c r="BK161" s="149"/>
      <c r="BL161" s="149"/>
      <c r="BM161" s="149"/>
      <c r="BN161" s="149"/>
      <c r="BO161" s="149"/>
      <c r="BP161" s="149"/>
      <c r="BQ161" s="149"/>
      <c r="BR161" s="149"/>
      <c r="BS161" s="149"/>
      <c r="BT161" s="149"/>
      <c r="BU161" s="149"/>
      <c r="BV161" s="149"/>
      <c r="BW161" s="149"/>
      <c r="BX161" s="149"/>
      <c r="BY161" s="149"/>
      <c r="BZ161" s="149"/>
      <c r="CA161" s="149"/>
      <c r="CB161" s="149"/>
      <c r="CC161" s="149"/>
      <c r="CD161" s="149"/>
      <c r="CE161" s="149"/>
      <c r="CF161" s="149"/>
      <c r="CG161" s="149"/>
      <c r="CH161" s="149"/>
      <c r="CI161" s="149"/>
      <c r="CJ161" s="149"/>
      <c r="CK161" s="149"/>
      <c r="CL161" s="149"/>
      <c r="CM161" s="149"/>
      <c r="CN161" s="149"/>
      <c r="CO161" s="149"/>
      <c r="CP161" s="149"/>
      <c r="CQ161" s="149"/>
      <c r="CR161" s="149"/>
    </row>
    <row r="162" spans="1:96">
      <c r="A162" s="149"/>
      <c r="B162" s="149"/>
      <c r="C162" s="149"/>
      <c r="D162" s="149"/>
      <c r="E162" s="149"/>
      <c r="F162" s="149"/>
      <c r="G162" s="212"/>
      <c r="H162" s="212"/>
      <c r="K162" s="62"/>
      <c r="M162" s="158"/>
      <c r="N162" s="158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  <c r="AC162" s="149"/>
      <c r="AD162" s="149"/>
      <c r="AE162" s="149"/>
      <c r="AF162" s="149"/>
      <c r="AG162" s="149"/>
      <c r="AH162" s="149"/>
      <c r="AI162" s="149"/>
      <c r="AJ162" s="149"/>
      <c r="AK162" s="149"/>
      <c r="AL162" s="149"/>
      <c r="AM162" s="149"/>
      <c r="AN162" s="149"/>
      <c r="AO162" s="149"/>
      <c r="AP162" s="149"/>
      <c r="AQ162" s="149"/>
      <c r="AR162" s="149"/>
      <c r="AS162" s="149"/>
      <c r="AT162" s="149"/>
      <c r="AU162" s="149"/>
      <c r="AV162" s="149"/>
      <c r="AW162" s="149"/>
      <c r="AX162" s="149"/>
      <c r="AY162" s="149"/>
      <c r="AZ162" s="149"/>
      <c r="BA162" s="149"/>
      <c r="BB162" s="149"/>
      <c r="BC162" s="149"/>
      <c r="BD162" s="149"/>
      <c r="BE162" s="149"/>
      <c r="BF162" s="149"/>
      <c r="BG162" s="149"/>
      <c r="BH162" s="149"/>
      <c r="BI162" s="149"/>
      <c r="BJ162" s="149"/>
      <c r="BK162" s="149"/>
      <c r="BL162" s="149"/>
      <c r="BM162" s="149"/>
      <c r="BN162" s="149"/>
      <c r="BO162" s="149"/>
      <c r="BP162" s="149"/>
      <c r="BQ162" s="149"/>
      <c r="BR162" s="149"/>
      <c r="BS162" s="149"/>
      <c r="BT162" s="149"/>
      <c r="BU162" s="149"/>
      <c r="BV162" s="149"/>
      <c r="BW162" s="149"/>
      <c r="BX162" s="149"/>
      <c r="BY162" s="149"/>
      <c r="BZ162" s="149"/>
      <c r="CA162" s="149"/>
      <c r="CB162" s="149"/>
      <c r="CC162" s="149"/>
      <c r="CD162" s="149"/>
      <c r="CE162" s="149"/>
      <c r="CF162" s="149"/>
      <c r="CG162" s="149"/>
      <c r="CH162" s="149"/>
      <c r="CI162" s="149"/>
      <c r="CJ162" s="149"/>
      <c r="CK162" s="149"/>
      <c r="CL162" s="149"/>
      <c r="CM162" s="149"/>
      <c r="CN162" s="149"/>
      <c r="CO162" s="149"/>
      <c r="CP162" s="149"/>
      <c r="CQ162" s="149"/>
      <c r="CR162" s="149"/>
    </row>
    <row r="163" spans="1:96">
      <c r="A163" s="149"/>
      <c r="B163" s="149"/>
      <c r="C163" s="149"/>
      <c r="D163" s="149"/>
      <c r="E163" s="149"/>
      <c r="F163" s="149"/>
      <c r="G163" s="212"/>
      <c r="H163" s="212"/>
      <c r="K163" s="62"/>
      <c r="M163" s="158"/>
      <c r="N163" s="158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  <c r="AC163" s="149"/>
      <c r="AD163" s="149"/>
      <c r="AE163" s="149"/>
      <c r="AF163" s="149"/>
      <c r="AG163" s="149"/>
      <c r="AH163" s="149"/>
      <c r="AI163" s="149"/>
      <c r="AJ163" s="149"/>
      <c r="AK163" s="149"/>
      <c r="AL163" s="149"/>
      <c r="AM163" s="149"/>
      <c r="AN163" s="149"/>
      <c r="AO163" s="149"/>
      <c r="AP163" s="149"/>
      <c r="AQ163" s="149"/>
      <c r="AR163" s="149"/>
      <c r="AS163" s="149"/>
      <c r="AT163" s="149"/>
      <c r="AU163" s="149"/>
      <c r="AV163" s="149"/>
      <c r="AW163" s="149"/>
      <c r="AX163" s="149"/>
      <c r="AY163" s="149"/>
      <c r="AZ163" s="149"/>
      <c r="BA163" s="149"/>
      <c r="BB163" s="149"/>
      <c r="BC163" s="149"/>
      <c r="BD163" s="149"/>
      <c r="BE163" s="149"/>
      <c r="BF163" s="149"/>
      <c r="BG163" s="149"/>
      <c r="BH163" s="149"/>
      <c r="BI163" s="149"/>
      <c r="BJ163" s="149"/>
      <c r="BK163" s="149"/>
      <c r="BL163" s="149"/>
      <c r="BM163" s="149"/>
      <c r="BN163" s="149"/>
      <c r="BO163" s="149"/>
      <c r="BP163" s="149"/>
      <c r="BQ163" s="149"/>
      <c r="BR163" s="149"/>
      <c r="BS163" s="149"/>
      <c r="BT163" s="149"/>
      <c r="BU163" s="149"/>
      <c r="BV163" s="149"/>
      <c r="BW163" s="149"/>
      <c r="BX163" s="149"/>
      <c r="BY163" s="149"/>
      <c r="BZ163" s="149"/>
      <c r="CA163" s="149"/>
      <c r="CB163" s="149"/>
      <c r="CC163" s="149"/>
      <c r="CD163" s="149"/>
      <c r="CE163" s="149"/>
      <c r="CF163" s="149"/>
      <c r="CG163" s="149"/>
      <c r="CH163" s="149"/>
      <c r="CI163" s="149"/>
      <c r="CJ163" s="149"/>
      <c r="CK163" s="149"/>
      <c r="CL163" s="149"/>
      <c r="CM163" s="149"/>
      <c r="CN163" s="149"/>
      <c r="CO163" s="149"/>
      <c r="CP163" s="149"/>
      <c r="CQ163" s="149"/>
      <c r="CR163" s="149"/>
    </row>
    <row r="164" spans="1:96">
      <c r="A164" s="149"/>
      <c r="B164" s="149"/>
      <c r="C164" s="149"/>
      <c r="D164" s="149"/>
      <c r="E164" s="149"/>
      <c r="F164" s="149"/>
      <c r="G164" s="212"/>
      <c r="H164" s="212"/>
      <c r="K164" s="62"/>
      <c r="M164" s="158"/>
      <c r="N164" s="158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  <c r="AC164" s="149"/>
      <c r="AD164" s="149"/>
      <c r="AE164" s="149"/>
      <c r="AF164" s="149"/>
      <c r="AG164" s="149"/>
      <c r="AH164" s="149"/>
      <c r="AI164" s="149"/>
      <c r="AJ164" s="149"/>
      <c r="AK164" s="149"/>
      <c r="AL164" s="149"/>
      <c r="AM164" s="149"/>
      <c r="AN164" s="149"/>
      <c r="AO164" s="149"/>
      <c r="AP164" s="149"/>
      <c r="AQ164" s="149"/>
      <c r="AR164" s="149"/>
      <c r="AS164" s="149"/>
      <c r="AT164" s="149"/>
      <c r="AU164" s="149"/>
      <c r="AV164" s="149"/>
      <c r="AW164" s="149"/>
      <c r="AX164" s="149"/>
      <c r="AY164" s="149"/>
      <c r="AZ164" s="149"/>
      <c r="BA164" s="149"/>
      <c r="BB164" s="149"/>
      <c r="BC164" s="149"/>
      <c r="BD164" s="149"/>
      <c r="BE164" s="149"/>
      <c r="BF164" s="149"/>
      <c r="BG164" s="149"/>
      <c r="BH164" s="149"/>
      <c r="BI164" s="149"/>
      <c r="BJ164" s="149"/>
      <c r="BK164" s="149"/>
      <c r="BL164" s="149"/>
      <c r="BM164" s="149"/>
      <c r="BN164" s="149"/>
      <c r="BO164" s="149"/>
      <c r="BP164" s="149"/>
      <c r="BQ164" s="149"/>
      <c r="BR164" s="149"/>
      <c r="BS164" s="149"/>
      <c r="BT164" s="149"/>
      <c r="BU164" s="149"/>
      <c r="BV164" s="149"/>
      <c r="BW164" s="149"/>
      <c r="BX164" s="149"/>
      <c r="BY164" s="149"/>
      <c r="BZ164" s="149"/>
      <c r="CA164" s="149"/>
      <c r="CB164" s="149"/>
      <c r="CC164" s="149"/>
      <c r="CD164" s="149"/>
      <c r="CE164" s="149"/>
      <c r="CF164" s="149"/>
      <c r="CG164" s="149"/>
      <c r="CH164" s="149"/>
      <c r="CI164" s="149"/>
      <c r="CJ164" s="149"/>
      <c r="CK164" s="149"/>
      <c r="CL164" s="149"/>
      <c r="CM164" s="149"/>
      <c r="CN164" s="149"/>
      <c r="CO164" s="149"/>
      <c r="CP164" s="149"/>
      <c r="CQ164" s="149"/>
      <c r="CR164" s="149"/>
    </row>
    <row r="165" spans="1:96">
      <c r="A165" s="149"/>
      <c r="B165" s="149"/>
      <c r="C165" s="149"/>
      <c r="D165" s="149"/>
      <c r="E165" s="149"/>
      <c r="F165" s="149"/>
      <c r="G165" s="212"/>
      <c r="H165" s="212"/>
      <c r="K165" s="62"/>
      <c r="M165" s="158"/>
      <c r="N165" s="158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  <c r="AC165" s="149"/>
      <c r="AD165" s="149"/>
      <c r="AE165" s="149"/>
      <c r="AF165" s="149"/>
      <c r="AG165" s="149"/>
      <c r="AH165" s="149"/>
      <c r="AI165" s="149"/>
      <c r="AJ165" s="149"/>
      <c r="AK165" s="149"/>
      <c r="AL165" s="149"/>
      <c r="AM165" s="149"/>
      <c r="AN165" s="149"/>
      <c r="AO165" s="149"/>
      <c r="AP165" s="149"/>
      <c r="AQ165" s="149"/>
      <c r="AR165" s="149"/>
      <c r="AS165" s="149"/>
      <c r="AT165" s="149"/>
      <c r="AU165" s="149"/>
      <c r="AV165" s="149"/>
      <c r="AW165" s="149"/>
      <c r="AX165" s="149"/>
      <c r="AY165" s="149"/>
      <c r="AZ165" s="149"/>
      <c r="BA165" s="149"/>
      <c r="BB165" s="149"/>
      <c r="BC165" s="149"/>
      <c r="BD165" s="149"/>
      <c r="BE165" s="149"/>
      <c r="BF165" s="149"/>
      <c r="BG165" s="149"/>
      <c r="BH165" s="149"/>
      <c r="BI165" s="149"/>
      <c r="BJ165" s="149"/>
      <c r="BK165" s="149"/>
      <c r="BL165" s="149"/>
      <c r="BM165" s="149"/>
      <c r="BN165" s="149"/>
      <c r="BO165" s="149"/>
      <c r="BP165" s="149"/>
      <c r="BQ165" s="149"/>
      <c r="BR165" s="149"/>
      <c r="BS165" s="149"/>
      <c r="BT165" s="149"/>
      <c r="BU165" s="149"/>
      <c r="BV165" s="149"/>
      <c r="BW165" s="149"/>
      <c r="BX165" s="149"/>
      <c r="BY165" s="149"/>
      <c r="BZ165" s="149"/>
      <c r="CA165" s="149"/>
      <c r="CB165" s="149"/>
      <c r="CC165" s="149"/>
      <c r="CD165" s="149"/>
      <c r="CE165" s="149"/>
      <c r="CF165" s="149"/>
      <c r="CG165" s="149"/>
      <c r="CH165" s="149"/>
      <c r="CI165" s="149"/>
      <c r="CJ165" s="149"/>
      <c r="CK165" s="149"/>
      <c r="CL165" s="149"/>
      <c r="CM165" s="149"/>
      <c r="CN165" s="149"/>
      <c r="CO165" s="149"/>
      <c r="CP165" s="149"/>
      <c r="CQ165" s="149"/>
      <c r="CR165" s="149"/>
    </row>
    <row r="166" spans="1:96">
      <c r="A166" s="149"/>
      <c r="B166" s="149"/>
      <c r="C166" s="149"/>
      <c r="D166" s="149"/>
      <c r="E166" s="149"/>
      <c r="F166" s="149"/>
      <c r="G166" s="212"/>
      <c r="H166" s="212"/>
      <c r="K166" s="62"/>
      <c r="M166" s="158"/>
      <c r="N166" s="158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  <c r="AC166" s="149"/>
      <c r="AD166" s="149"/>
      <c r="AE166" s="149"/>
      <c r="AF166" s="149"/>
      <c r="AG166" s="149"/>
      <c r="AH166" s="149"/>
      <c r="AI166" s="149"/>
      <c r="AJ166" s="149"/>
      <c r="AK166" s="149"/>
      <c r="AL166" s="149"/>
      <c r="AM166" s="149"/>
      <c r="AN166" s="149"/>
      <c r="AO166" s="149"/>
      <c r="AP166" s="149"/>
      <c r="AQ166" s="149"/>
      <c r="AR166" s="149"/>
      <c r="AS166" s="149"/>
      <c r="AT166" s="149"/>
      <c r="AU166" s="149"/>
      <c r="AV166" s="149"/>
      <c r="AW166" s="149"/>
      <c r="AX166" s="149"/>
      <c r="AY166" s="149"/>
      <c r="AZ166" s="149"/>
      <c r="BA166" s="149"/>
      <c r="BB166" s="149"/>
      <c r="BC166" s="149"/>
      <c r="BD166" s="149"/>
      <c r="BE166" s="149"/>
      <c r="BF166" s="149"/>
      <c r="BG166" s="149"/>
      <c r="BH166" s="149"/>
      <c r="BI166" s="149"/>
      <c r="BJ166" s="149"/>
      <c r="BK166" s="149"/>
      <c r="BL166" s="149"/>
      <c r="BM166" s="149"/>
      <c r="BN166" s="149"/>
      <c r="BO166" s="149"/>
      <c r="BP166" s="149"/>
      <c r="BQ166" s="149"/>
      <c r="BR166" s="149"/>
      <c r="BS166" s="149"/>
      <c r="BT166" s="149"/>
      <c r="BU166" s="149"/>
      <c r="BV166" s="149"/>
      <c r="BW166" s="149"/>
      <c r="BX166" s="149"/>
      <c r="BY166" s="149"/>
      <c r="BZ166" s="149"/>
      <c r="CA166" s="149"/>
      <c r="CB166" s="149"/>
      <c r="CC166" s="149"/>
      <c r="CD166" s="149"/>
      <c r="CE166" s="149"/>
      <c r="CF166" s="149"/>
      <c r="CG166" s="149"/>
      <c r="CH166" s="149"/>
      <c r="CI166" s="149"/>
      <c r="CJ166" s="149"/>
      <c r="CK166" s="149"/>
      <c r="CL166" s="149"/>
      <c r="CM166" s="149"/>
      <c r="CN166" s="149"/>
      <c r="CO166" s="149"/>
      <c r="CP166" s="149"/>
      <c r="CQ166" s="149"/>
      <c r="CR166" s="149"/>
    </row>
    <row r="167" spans="1:96">
      <c r="A167" s="149"/>
      <c r="B167" s="149"/>
      <c r="C167" s="149"/>
      <c r="D167" s="149"/>
      <c r="E167" s="149"/>
      <c r="F167" s="149"/>
      <c r="G167" s="212"/>
      <c r="H167" s="212"/>
      <c r="K167" s="62"/>
      <c r="M167" s="158"/>
      <c r="N167" s="158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  <c r="AC167" s="149"/>
      <c r="AD167" s="149"/>
      <c r="AE167" s="149"/>
      <c r="AF167" s="149"/>
      <c r="AG167" s="149"/>
      <c r="AH167" s="149"/>
      <c r="AI167" s="149"/>
      <c r="AJ167" s="149"/>
      <c r="AK167" s="149"/>
      <c r="AL167" s="149"/>
      <c r="AM167" s="149"/>
      <c r="AN167" s="149"/>
      <c r="AO167" s="149"/>
      <c r="AP167" s="149"/>
      <c r="AQ167" s="149"/>
      <c r="AR167" s="149"/>
      <c r="AS167" s="149"/>
      <c r="AT167" s="149"/>
      <c r="AU167" s="149"/>
      <c r="AV167" s="149"/>
      <c r="AW167" s="149"/>
      <c r="AX167" s="149"/>
      <c r="AY167" s="149"/>
      <c r="AZ167" s="149"/>
      <c r="BA167" s="149"/>
      <c r="BB167" s="149"/>
      <c r="BC167" s="149"/>
      <c r="BD167" s="149"/>
      <c r="BE167" s="149"/>
      <c r="BF167" s="149"/>
      <c r="BG167" s="149"/>
      <c r="BH167" s="149"/>
      <c r="BI167" s="149"/>
      <c r="BJ167" s="149"/>
      <c r="BK167" s="149"/>
      <c r="BL167" s="149"/>
      <c r="BM167" s="149"/>
      <c r="BN167" s="149"/>
      <c r="BO167" s="149"/>
      <c r="BP167" s="149"/>
      <c r="BQ167" s="149"/>
      <c r="BR167" s="149"/>
      <c r="BS167" s="149"/>
      <c r="BT167" s="149"/>
      <c r="BU167" s="149"/>
      <c r="BV167" s="149"/>
      <c r="BW167" s="149"/>
      <c r="BX167" s="149"/>
      <c r="BY167" s="149"/>
      <c r="BZ167" s="149"/>
      <c r="CA167" s="149"/>
      <c r="CB167" s="149"/>
      <c r="CC167" s="149"/>
      <c r="CD167" s="149"/>
      <c r="CE167" s="149"/>
      <c r="CF167" s="149"/>
      <c r="CG167" s="149"/>
      <c r="CH167" s="149"/>
      <c r="CI167" s="149"/>
      <c r="CJ167" s="149"/>
      <c r="CK167" s="149"/>
      <c r="CL167" s="149"/>
      <c r="CM167" s="149"/>
      <c r="CN167" s="149"/>
      <c r="CO167" s="149"/>
      <c r="CP167" s="149"/>
      <c r="CQ167" s="149"/>
      <c r="CR167" s="149"/>
    </row>
    <row r="168" spans="1:96">
      <c r="A168" s="149"/>
      <c r="B168" s="149"/>
      <c r="C168" s="149"/>
      <c r="D168" s="149"/>
      <c r="E168" s="149"/>
      <c r="F168" s="149"/>
      <c r="G168" s="212"/>
      <c r="H168" s="212"/>
      <c r="K168" s="62"/>
      <c r="M168" s="158"/>
      <c r="N168" s="158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  <c r="AC168" s="149"/>
      <c r="AD168" s="149"/>
      <c r="AE168" s="149"/>
      <c r="AF168" s="149"/>
      <c r="AG168" s="149"/>
      <c r="AH168" s="149"/>
      <c r="AI168" s="149"/>
      <c r="AJ168" s="149"/>
      <c r="AK168" s="149"/>
      <c r="AL168" s="149"/>
      <c r="AM168" s="149"/>
      <c r="AN168" s="149"/>
      <c r="AO168" s="149"/>
      <c r="AP168" s="149"/>
      <c r="AQ168" s="149"/>
      <c r="AR168" s="149"/>
      <c r="AS168" s="149"/>
      <c r="AT168" s="149"/>
      <c r="AU168" s="149"/>
      <c r="AV168" s="149"/>
      <c r="AW168" s="149"/>
      <c r="AX168" s="149"/>
      <c r="AY168" s="149"/>
      <c r="AZ168" s="149"/>
      <c r="BA168" s="149"/>
      <c r="BB168" s="149"/>
      <c r="BC168" s="149"/>
      <c r="BD168" s="149"/>
      <c r="BE168" s="149"/>
      <c r="BF168" s="149"/>
      <c r="BG168" s="149"/>
      <c r="BH168" s="149"/>
      <c r="BI168" s="149"/>
      <c r="BJ168" s="149"/>
      <c r="BK168" s="149"/>
      <c r="BL168" s="149"/>
      <c r="BM168" s="149"/>
      <c r="BN168" s="149"/>
      <c r="BO168" s="149"/>
      <c r="BP168" s="149"/>
      <c r="BQ168" s="149"/>
      <c r="BR168" s="149"/>
      <c r="BS168" s="149"/>
      <c r="BT168" s="149"/>
      <c r="BU168" s="149"/>
      <c r="BV168" s="149"/>
      <c r="BW168" s="149"/>
      <c r="BX168" s="149"/>
      <c r="BY168" s="149"/>
      <c r="BZ168" s="149"/>
      <c r="CA168" s="149"/>
      <c r="CB168" s="149"/>
      <c r="CC168" s="149"/>
      <c r="CD168" s="149"/>
      <c r="CE168" s="149"/>
      <c r="CF168" s="149"/>
      <c r="CG168" s="149"/>
      <c r="CH168" s="149"/>
      <c r="CI168" s="149"/>
      <c r="CJ168" s="149"/>
      <c r="CK168" s="149"/>
      <c r="CL168" s="149"/>
      <c r="CM168" s="149"/>
      <c r="CN168" s="149"/>
      <c r="CO168" s="149"/>
      <c r="CP168" s="149"/>
      <c r="CQ168" s="149"/>
      <c r="CR168" s="149"/>
    </row>
    <row r="169" spans="1:96">
      <c r="A169" s="149"/>
      <c r="B169" s="149"/>
      <c r="C169" s="149"/>
      <c r="D169" s="149"/>
      <c r="E169" s="149"/>
      <c r="F169" s="149"/>
      <c r="G169" s="212"/>
      <c r="H169" s="212"/>
      <c r="K169" s="62"/>
      <c r="M169" s="158"/>
      <c r="N169" s="158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  <c r="AC169" s="149"/>
      <c r="AD169" s="149"/>
      <c r="AE169" s="149"/>
      <c r="AF169" s="149"/>
      <c r="AG169" s="149"/>
      <c r="AH169" s="149"/>
      <c r="AI169" s="149"/>
      <c r="AJ169" s="149"/>
      <c r="AK169" s="149"/>
      <c r="AL169" s="149"/>
      <c r="AM169" s="149"/>
      <c r="AN169" s="149"/>
      <c r="AO169" s="149"/>
      <c r="AP169" s="149"/>
      <c r="AQ169" s="149"/>
      <c r="AR169" s="149"/>
      <c r="AS169" s="149"/>
      <c r="AT169" s="149"/>
      <c r="AU169" s="149"/>
      <c r="AV169" s="149"/>
      <c r="AW169" s="149"/>
      <c r="AX169" s="149"/>
      <c r="AY169" s="149"/>
      <c r="AZ169" s="149"/>
      <c r="BA169" s="149"/>
      <c r="BB169" s="149"/>
      <c r="BC169" s="149"/>
      <c r="BD169" s="149"/>
      <c r="BE169" s="149"/>
      <c r="BF169" s="149"/>
      <c r="BG169" s="149"/>
      <c r="BH169" s="149"/>
      <c r="BI169" s="149"/>
      <c r="BJ169" s="149"/>
      <c r="BK169" s="149"/>
      <c r="BL169" s="149"/>
      <c r="BM169" s="149"/>
      <c r="BN169" s="149"/>
      <c r="BO169" s="149"/>
      <c r="BP169" s="149"/>
      <c r="BQ169" s="149"/>
      <c r="BR169" s="149"/>
      <c r="BS169" s="149"/>
      <c r="BT169" s="149"/>
      <c r="BU169" s="149"/>
      <c r="BV169" s="149"/>
      <c r="BW169" s="149"/>
      <c r="BX169" s="149"/>
      <c r="BY169" s="149"/>
      <c r="BZ169" s="149"/>
      <c r="CA169" s="149"/>
      <c r="CB169" s="149"/>
      <c r="CC169" s="149"/>
      <c r="CD169" s="149"/>
      <c r="CE169" s="149"/>
      <c r="CF169" s="149"/>
      <c r="CG169" s="149"/>
      <c r="CH169" s="149"/>
      <c r="CI169" s="149"/>
      <c r="CJ169" s="149"/>
      <c r="CK169" s="149"/>
      <c r="CL169" s="149"/>
      <c r="CM169" s="149"/>
      <c r="CN169" s="149"/>
      <c r="CO169" s="149"/>
      <c r="CP169" s="149"/>
      <c r="CQ169" s="149"/>
      <c r="CR169" s="149"/>
    </row>
    <row r="170" spans="1:96">
      <c r="A170" s="149"/>
      <c r="B170" s="149"/>
      <c r="C170" s="149"/>
      <c r="D170" s="149"/>
      <c r="E170" s="149"/>
      <c r="F170" s="149"/>
      <c r="G170" s="212"/>
      <c r="H170" s="212"/>
      <c r="K170" s="62"/>
      <c r="M170" s="158"/>
      <c r="N170" s="158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49"/>
      <c r="AH170" s="149"/>
      <c r="AI170" s="149"/>
      <c r="AJ170" s="149"/>
      <c r="AK170" s="149"/>
      <c r="AL170" s="149"/>
      <c r="AM170" s="149"/>
      <c r="AN170" s="149"/>
      <c r="AO170" s="149"/>
      <c r="AP170" s="149"/>
      <c r="AQ170" s="149"/>
      <c r="AR170" s="149"/>
      <c r="AS170" s="149"/>
      <c r="AT170" s="149"/>
      <c r="AU170" s="149"/>
      <c r="AV170" s="149"/>
      <c r="AW170" s="149"/>
      <c r="AX170" s="149"/>
      <c r="AY170" s="149"/>
      <c r="AZ170" s="149"/>
      <c r="BA170" s="149"/>
      <c r="BB170" s="149"/>
      <c r="BC170" s="149"/>
      <c r="BD170" s="149"/>
      <c r="BE170" s="149"/>
      <c r="BF170" s="149"/>
      <c r="BG170" s="149"/>
      <c r="BH170" s="149"/>
      <c r="BI170" s="149"/>
      <c r="BJ170" s="149"/>
      <c r="BK170" s="149"/>
      <c r="BL170" s="149"/>
      <c r="BM170" s="149"/>
      <c r="BN170" s="149"/>
      <c r="BO170" s="149"/>
      <c r="BP170" s="149"/>
      <c r="BQ170" s="149"/>
      <c r="BR170" s="149"/>
      <c r="BS170" s="149"/>
      <c r="BT170" s="149"/>
      <c r="BU170" s="149"/>
      <c r="BV170" s="149"/>
      <c r="BW170" s="149"/>
      <c r="BX170" s="149"/>
      <c r="BY170" s="149"/>
      <c r="BZ170" s="149"/>
      <c r="CA170" s="149"/>
      <c r="CB170" s="149"/>
      <c r="CC170" s="149"/>
      <c r="CD170" s="149"/>
      <c r="CE170" s="149"/>
      <c r="CF170" s="149"/>
      <c r="CG170" s="149"/>
      <c r="CH170" s="149"/>
      <c r="CI170" s="149"/>
      <c r="CJ170" s="149"/>
      <c r="CK170" s="149"/>
      <c r="CL170" s="149"/>
      <c r="CM170" s="149"/>
      <c r="CN170" s="149"/>
      <c r="CO170" s="149"/>
      <c r="CP170" s="149"/>
      <c r="CQ170" s="149"/>
      <c r="CR170" s="149"/>
    </row>
    <row r="171" spans="1:96">
      <c r="A171" s="149"/>
      <c r="B171" s="149"/>
      <c r="C171" s="149"/>
      <c r="D171" s="149"/>
      <c r="E171" s="149"/>
      <c r="F171" s="149"/>
      <c r="G171" s="212"/>
      <c r="H171" s="212"/>
      <c r="K171" s="62"/>
      <c r="M171" s="158"/>
      <c r="N171" s="158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49"/>
      <c r="AH171" s="149"/>
      <c r="AI171" s="149"/>
      <c r="AJ171" s="149"/>
      <c r="AK171" s="149"/>
      <c r="AL171" s="149"/>
      <c r="AM171" s="149"/>
      <c r="AN171" s="149"/>
      <c r="AO171" s="149"/>
      <c r="AP171" s="149"/>
      <c r="AQ171" s="149"/>
      <c r="AR171" s="149"/>
      <c r="AS171" s="149"/>
      <c r="AT171" s="149"/>
      <c r="AU171" s="149"/>
      <c r="AV171" s="149"/>
      <c r="AW171" s="149"/>
      <c r="AX171" s="149"/>
      <c r="AY171" s="149"/>
      <c r="AZ171" s="149"/>
      <c r="BA171" s="149"/>
      <c r="BB171" s="149"/>
      <c r="BC171" s="149"/>
      <c r="BD171" s="149"/>
      <c r="BE171" s="149"/>
      <c r="BF171" s="149"/>
      <c r="BG171" s="149"/>
      <c r="BH171" s="149"/>
      <c r="BI171" s="149"/>
      <c r="BJ171" s="149"/>
      <c r="BK171" s="149"/>
      <c r="BL171" s="149"/>
      <c r="BM171" s="149"/>
      <c r="BN171" s="149"/>
      <c r="BO171" s="149"/>
      <c r="BP171" s="149"/>
      <c r="BQ171" s="149"/>
      <c r="BR171" s="149"/>
      <c r="BS171" s="149"/>
      <c r="BT171" s="149"/>
      <c r="BU171" s="149"/>
      <c r="BV171" s="149"/>
      <c r="BW171" s="149"/>
      <c r="BX171" s="149"/>
      <c r="BY171" s="149"/>
      <c r="BZ171" s="149"/>
      <c r="CA171" s="149"/>
      <c r="CB171" s="149"/>
      <c r="CC171" s="149"/>
      <c r="CD171" s="149"/>
      <c r="CE171" s="149"/>
      <c r="CF171" s="149"/>
      <c r="CG171" s="149"/>
      <c r="CH171" s="149"/>
      <c r="CI171" s="149"/>
      <c r="CJ171" s="149"/>
      <c r="CK171" s="149"/>
      <c r="CL171" s="149"/>
      <c r="CM171" s="149"/>
      <c r="CN171" s="149"/>
      <c r="CO171" s="149"/>
      <c r="CP171" s="149"/>
      <c r="CQ171" s="149"/>
      <c r="CR171" s="149"/>
    </row>
    <row r="172" spans="1:96">
      <c r="A172" s="149"/>
      <c r="B172" s="149"/>
      <c r="C172" s="149"/>
      <c r="D172" s="149"/>
      <c r="E172" s="149"/>
      <c r="F172" s="149"/>
      <c r="G172" s="212"/>
      <c r="H172" s="212"/>
      <c r="K172" s="62"/>
      <c r="M172" s="158"/>
      <c r="N172" s="158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49"/>
      <c r="AH172" s="149"/>
      <c r="AI172" s="149"/>
      <c r="AJ172" s="149"/>
      <c r="AK172" s="149"/>
      <c r="AL172" s="149"/>
      <c r="AM172" s="149"/>
      <c r="AN172" s="149"/>
      <c r="AO172" s="149"/>
      <c r="AP172" s="149"/>
      <c r="AQ172" s="149"/>
      <c r="AR172" s="149"/>
      <c r="AS172" s="149"/>
      <c r="AT172" s="149"/>
      <c r="AU172" s="149"/>
      <c r="AV172" s="149"/>
      <c r="AW172" s="149"/>
      <c r="AX172" s="149"/>
      <c r="AY172" s="149"/>
      <c r="AZ172" s="149"/>
      <c r="BA172" s="149"/>
      <c r="BB172" s="149"/>
      <c r="BC172" s="149"/>
      <c r="BD172" s="149"/>
      <c r="BE172" s="149"/>
      <c r="BF172" s="149"/>
      <c r="BG172" s="149"/>
      <c r="BH172" s="149"/>
      <c r="BI172" s="149"/>
      <c r="BJ172" s="149"/>
      <c r="BK172" s="149"/>
      <c r="BL172" s="149"/>
      <c r="BM172" s="149"/>
      <c r="BN172" s="149"/>
      <c r="BO172" s="149"/>
      <c r="BP172" s="149"/>
      <c r="BQ172" s="149"/>
      <c r="BR172" s="149"/>
      <c r="BS172" s="149"/>
      <c r="BT172" s="149"/>
      <c r="BU172" s="149"/>
      <c r="BV172" s="149"/>
      <c r="BW172" s="149"/>
      <c r="BX172" s="149"/>
      <c r="BY172" s="149"/>
      <c r="BZ172" s="149"/>
      <c r="CA172" s="149"/>
      <c r="CB172" s="149"/>
      <c r="CC172" s="149"/>
      <c r="CD172" s="149"/>
      <c r="CE172" s="149"/>
      <c r="CF172" s="149"/>
      <c r="CG172" s="149"/>
      <c r="CH172" s="149"/>
      <c r="CI172" s="149"/>
      <c r="CJ172" s="149"/>
      <c r="CK172" s="149"/>
      <c r="CL172" s="149"/>
      <c r="CM172" s="149"/>
      <c r="CN172" s="149"/>
      <c r="CO172" s="149"/>
      <c r="CP172" s="149"/>
      <c r="CQ172" s="149"/>
      <c r="CR172" s="149"/>
    </row>
    <row r="173" spans="1:96">
      <c r="A173" s="149"/>
      <c r="B173" s="149"/>
      <c r="C173" s="149"/>
      <c r="D173" s="149"/>
      <c r="E173" s="149"/>
      <c r="F173" s="149"/>
      <c r="G173" s="212"/>
      <c r="H173" s="212"/>
      <c r="K173" s="62"/>
      <c r="M173" s="158"/>
      <c r="N173" s="158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49"/>
      <c r="AH173" s="149"/>
      <c r="AI173" s="149"/>
      <c r="AJ173" s="149"/>
      <c r="AK173" s="149"/>
      <c r="AL173" s="149"/>
      <c r="AM173" s="149"/>
      <c r="AN173" s="149"/>
      <c r="AO173" s="149"/>
      <c r="AP173" s="149"/>
      <c r="AQ173" s="149"/>
      <c r="AR173" s="149"/>
      <c r="AS173" s="149"/>
      <c r="AT173" s="149"/>
      <c r="AU173" s="149"/>
      <c r="AV173" s="149"/>
      <c r="AW173" s="149"/>
      <c r="AX173" s="149"/>
      <c r="AY173" s="149"/>
      <c r="AZ173" s="149"/>
      <c r="BA173" s="149"/>
      <c r="BB173" s="149"/>
      <c r="BC173" s="149"/>
      <c r="BD173" s="149"/>
      <c r="BE173" s="149"/>
      <c r="BF173" s="149"/>
      <c r="BG173" s="149"/>
      <c r="BH173" s="149"/>
      <c r="BI173" s="149"/>
      <c r="BJ173" s="149"/>
      <c r="BK173" s="149"/>
      <c r="BL173" s="149"/>
      <c r="BM173" s="149"/>
      <c r="BN173" s="149"/>
      <c r="BO173" s="149"/>
      <c r="BP173" s="149"/>
      <c r="BQ173" s="149"/>
      <c r="BR173" s="149"/>
      <c r="BS173" s="149"/>
      <c r="BT173" s="149"/>
      <c r="BU173" s="149"/>
      <c r="BV173" s="149"/>
      <c r="BW173" s="149"/>
      <c r="BX173" s="149"/>
      <c r="BY173" s="149"/>
      <c r="BZ173" s="149"/>
      <c r="CA173" s="149"/>
      <c r="CB173" s="149"/>
      <c r="CC173" s="149"/>
      <c r="CD173" s="149"/>
      <c r="CE173" s="149"/>
      <c r="CF173" s="149"/>
      <c r="CG173" s="149"/>
      <c r="CH173" s="149"/>
      <c r="CI173" s="149"/>
      <c r="CJ173" s="149"/>
      <c r="CK173" s="149"/>
      <c r="CL173" s="149"/>
      <c r="CM173" s="149"/>
      <c r="CN173" s="149"/>
      <c r="CO173" s="149"/>
      <c r="CP173" s="149"/>
      <c r="CQ173" s="149"/>
      <c r="CR173" s="149"/>
    </row>
    <row r="174" spans="1:96">
      <c r="A174" s="149"/>
      <c r="B174" s="149"/>
      <c r="C174" s="149"/>
      <c r="D174" s="149"/>
      <c r="E174" s="149"/>
      <c r="F174" s="149"/>
      <c r="G174" s="212"/>
      <c r="H174" s="212"/>
      <c r="K174" s="62"/>
      <c r="M174" s="158"/>
      <c r="N174" s="158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49"/>
      <c r="AH174" s="149"/>
      <c r="AI174" s="149"/>
      <c r="AJ174" s="149"/>
      <c r="AK174" s="149"/>
      <c r="AL174" s="149"/>
      <c r="AM174" s="149"/>
      <c r="AN174" s="149"/>
      <c r="AO174" s="149"/>
      <c r="AP174" s="149"/>
      <c r="AQ174" s="149"/>
      <c r="AR174" s="149"/>
      <c r="AS174" s="149"/>
      <c r="AT174" s="149"/>
      <c r="AU174" s="149"/>
      <c r="AV174" s="149"/>
      <c r="AW174" s="149"/>
      <c r="AX174" s="149"/>
      <c r="AY174" s="149"/>
      <c r="AZ174" s="149"/>
      <c r="BA174" s="149"/>
      <c r="BB174" s="149"/>
      <c r="BC174" s="149"/>
      <c r="BD174" s="149"/>
      <c r="BE174" s="149"/>
      <c r="BF174" s="149"/>
      <c r="BG174" s="149"/>
      <c r="BH174" s="149"/>
      <c r="BI174" s="149"/>
      <c r="BJ174" s="149"/>
      <c r="BK174" s="149"/>
      <c r="BL174" s="149"/>
      <c r="BM174" s="149"/>
      <c r="BN174" s="149"/>
      <c r="BO174" s="149"/>
      <c r="BP174" s="149"/>
      <c r="BQ174" s="149"/>
      <c r="BR174" s="149"/>
      <c r="BS174" s="149"/>
      <c r="BT174" s="149"/>
      <c r="BU174" s="149"/>
      <c r="BV174" s="149"/>
      <c r="BW174" s="149"/>
      <c r="BX174" s="149"/>
      <c r="BY174" s="149"/>
      <c r="BZ174" s="149"/>
      <c r="CA174" s="149"/>
      <c r="CB174" s="149"/>
      <c r="CC174" s="149"/>
      <c r="CD174" s="149"/>
      <c r="CE174" s="149"/>
      <c r="CF174" s="149"/>
      <c r="CG174" s="149"/>
      <c r="CH174" s="149"/>
      <c r="CI174" s="149"/>
      <c r="CJ174" s="149"/>
      <c r="CK174" s="149"/>
      <c r="CL174" s="149"/>
      <c r="CM174" s="149"/>
      <c r="CN174" s="149"/>
      <c r="CO174" s="149"/>
      <c r="CP174" s="149"/>
      <c r="CQ174" s="149"/>
      <c r="CR174" s="149"/>
    </row>
    <row r="175" spans="1:96">
      <c r="A175" s="149"/>
      <c r="B175" s="149"/>
      <c r="C175" s="149"/>
      <c r="D175" s="149"/>
      <c r="E175" s="149"/>
      <c r="F175" s="149"/>
      <c r="G175" s="212"/>
      <c r="H175" s="212"/>
      <c r="K175" s="62"/>
      <c r="M175" s="158"/>
      <c r="N175" s="158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49"/>
      <c r="AH175" s="149"/>
      <c r="AI175" s="149"/>
      <c r="AJ175" s="149"/>
      <c r="AK175" s="149"/>
      <c r="AL175" s="149"/>
      <c r="AM175" s="149"/>
      <c r="AN175" s="149"/>
      <c r="AO175" s="149"/>
      <c r="AP175" s="149"/>
      <c r="AQ175" s="149"/>
      <c r="AR175" s="149"/>
      <c r="AS175" s="149"/>
      <c r="AT175" s="149"/>
      <c r="AU175" s="149"/>
      <c r="AV175" s="149"/>
      <c r="AW175" s="149"/>
      <c r="AX175" s="149"/>
      <c r="AY175" s="149"/>
      <c r="AZ175" s="149"/>
      <c r="BA175" s="149"/>
      <c r="BB175" s="149"/>
      <c r="BC175" s="149"/>
      <c r="BD175" s="149"/>
      <c r="BE175" s="149"/>
      <c r="BF175" s="149"/>
      <c r="BG175" s="149"/>
      <c r="BH175" s="149"/>
      <c r="BI175" s="149"/>
      <c r="BJ175" s="149"/>
      <c r="BK175" s="149"/>
      <c r="BL175" s="149"/>
      <c r="BM175" s="149"/>
      <c r="BN175" s="149"/>
      <c r="BO175" s="149"/>
      <c r="BP175" s="149"/>
      <c r="BQ175" s="149"/>
      <c r="BR175" s="149"/>
      <c r="BS175" s="149"/>
      <c r="BT175" s="149"/>
      <c r="BU175" s="149"/>
      <c r="BV175" s="149"/>
      <c r="BW175" s="149"/>
      <c r="BX175" s="149"/>
      <c r="BY175" s="149"/>
      <c r="BZ175" s="149"/>
      <c r="CA175" s="149"/>
      <c r="CB175" s="149"/>
      <c r="CC175" s="149"/>
      <c r="CD175" s="149"/>
      <c r="CE175" s="149"/>
      <c r="CF175" s="149"/>
      <c r="CG175" s="149"/>
      <c r="CH175" s="149"/>
      <c r="CI175" s="149"/>
      <c r="CJ175" s="149"/>
      <c r="CK175" s="149"/>
      <c r="CL175" s="149"/>
      <c r="CM175" s="149"/>
      <c r="CN175" s="149"/>
      <c r="CO175" s="149"/>
      <c r="CP175" s="149"/>
      <c r="CQ175" s="149"/>
      <c r="CR175" s="149"/>
    </row>
    <row r="176" spans="1:96">
      <c r="A176" s="149"/>
      <c r="B176" s="149"/>
      <c r="C176" s="149"/>
      <c r="D176" s="149"/>
      <c r="E176" s="149"/>
      <c r="F176" s="149"/>
      <c r="G176" s="212"/>
      <c r="H176" s="212"/>
      <c r="K176" s="62"/>
      <c r="M176" s="158"/>
      <c r="N176" s="158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49"/>
      <c r="AH176" s="149"/>
      <c r="AI176" s="149"/>
      <c r="AJ176" s="149"/>
      <c r="AK176" s="149"/>
      <c r="AL176" s="149"/>
      <c r="AM176" s="149"/>
      <c r="AN176" s="149"/>
      <c r="AO176" s="149"/>
      <c r="AP176" s="149"/>
      <c r="AQ176" s="149"/>
      <c r="AR176" s="149"/>
      <c r="AS176" s="149"/>
      <c r="AT176" s="149"/>
      <c r="AU176" s="149"/>
      <c r="AV176" s="149"/>
      <c r="AW176" s="149"/>
      <c r="AX176" s="149"/>
      <c r="AY176" s="149"/>
      <c r="AZ176" s="149"/>
      <c r="BA176" s="149"/>
      <c r="BB176" s="149"/>
      <c r="BC176" s="149"/>
      <c r="BD176" s="149"/>
      <c r="BE176" s="149"/>
      <c r="BF176" s="149"/>
      <c r="BG176" s="149"/>
      <c r="BH176" s="149"/>
      <c r="BI176" s="149"/>
      <c r="BJ176" s="149"/>
      <c r="BK176" s="149"/>
      <c r="BL176" s="149"/>
      <c r="BM176" s="149"/>
      <c r="BN176" s="149"/>
      <c r="BO176" s="149"/>
      <c r="BP176" s="149"/>
      <c r="BQ176" s="149"/>
      <c r="BR176" s="149"/>
      <c r="BS176" s="149"/>
      <c r="BT176" s="149"/>
      <c r="BU176" s="149"/>
      <c r="BV176" s="149"/>
      <c r="BW176" s="149"/>
      <c r="BX176" s="149"/>
      <c r="BY176" s="149"/>
      <c r="BZ176" s="149"/>
      <c r="CA176" s="149"/>
      <c r="CB176" s="149"/>
      <c r="CC176" s="149"/>
      <c r="CD176" s="149"/>
      <c r="CE176" s="149"/>
      <c r="CF176" s="149"/>
      <c r="CG176" s="149"/>
      <c r="CH176" s="149"/>
      <c r="CI176" s="149"/>
      <c r="CJ176" s="149"/>
      <c r="CK176" s="149"/>
      <c r="CL176" s="149"/>
      <c r="CM176" s="149"/>
      <c r="CN176" s="149"/>
      <c r="CO176" s="149"/>
      <c r="CP176" s="149"/>
      <c r="CQ176" s="149"/>
      <c r="CR176" s="149"/>
    </row>
    <row r="177" spans="1:96">
      <c r="A177" s="149"/>
      <c r="B177" s="149"/>
      <c r="C177" s="149"/>
      <c r="D177" s="149"/>
      <c r="E177" s="149"/>
      <c r="F177" s="149"/>
      <c r="G177" s="212"/>
      <c r="H177" s="212"/>
      <c r="K177" s="62"/>
      <c r="M177" s="158"/>
      <c r="N177" s="158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49"/>
      <c r="AH177" s="149"/>
      <c r="AI177" s="149"/>
      <c r="AJ177" s="149"/>
      <c r="AK177" s="149"/>
      <c r="AL177" s="149"/>
      <c r="AM177" s="149"/>
      <c r="AN177" s="149"/>
      <c r="AO177" s="149"/>
      <c r="AP177" s="149"/>
      <c r="AQ177" s="149"/>
      <c r="AR177" s="149"/>
      <c r="AS177" s="149"/>
      <c r="AT177" s="149"/>
      <c r="AU177" s="149"/>
      <c r="AV177" s="149"/>
      <c r="AW177" s="149"/>
      <c r="AX177" s="149"/>
      <c r="AY177" s="149"/>
      <c r="AZ177" s="149"/>
      <c r="BA177" s="149"/>
      <c r="BB177" s="149"/>
      <c r="BC177" s="149"/>
      <c r="BD177" s="149"/>
      <c r="BE177" s="149"/>
      <c r="BF177" s="149"/>
      <c r="BG177" s="149"/>
      <c r="BH177" s="149"/>
      <c r="BI177" s="149"/>
      <c r="BJ177" s="149"/>
      <c r="BK177" s="149"/>
      <c r="BL177" s="149"/>
      <c r="BM177" s="149"/>
      <c r="BN177" s="149"/>
      <c r="BO177" s="149"/>
      <c r="BP177" s="149"/>
      <c r="BQ177" s="149"/>
      <c r="BR177" s="149"/>
      <c r="BS177" s="149"/>
      <c r="BT177" s="149"/>
      <c r="BU177" s="149"/>
      <c r="BV177" s="149"/>
      <c r="BW177" s="149"/>
      <c r="BX177" s="149"/>
      <c r="BY177" s="149"/>
      <c r="BZ177" s="149"/>
      <c r="CA177" s="149"/>
      <c r="CB177" s="149"/>
      <c r="CC177" s="149"/>
      <c r="CD177" s="149"/>
      <c r="CE177" s="149"/>
      <c r="CF177" s="149"/>
      <c r="CG177" s="149"/>
      <c r="CH177" s="149"/>
      <c r="CI177" s="149"/>
      <c r="CJ177" s="149"/>
      <c r="CK177" s="149"/>
      <c r="CL177" s="149"/>
      <c r="CM177" s="149"/>
      <c r="CN177" s="149"/>
      <c r="CO177" s="149"/>
      <c r="CP177" s="149"/>
      <c r="CQ177" s="149"/>
      <c r="CR177" s="149"/>
    </row>
    <row r="178" spans="1:96">
      <c r="A178" s="149"/>
      <c r="B178" s="149"/>
      <c r="C178" s="149"/>
      <c r="D178" s="149"/>
      <c r="E178" s="149"/>
      <c r="F178" s="149"/>
      <c r="G178" s="219"/>
      <c r="H178" s="219"/>
      <c r="M178" s="158"/>
      <c r="N178" s="158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  <c r="AC178" s="149"/>
      <c r="AD178" s="149"/>
      <c r="AE178" s="149"/>
      <c r="AF178" s="149"/>
      <c r="AG178" s="149"/>
      <c r="AH178" s="149"/>
      <c r="AI178" s="149"/>
      <c r="AJ178" s="149"/>
      <c r="AK178" s="149"/>
      <c r="AL178" s="149"/>
      <c r="AM178" s="149"/>
      <c r="AN178" s="149"/>
      <c r="AO178" s="149"/>
      <c r="AP178" s="149"/>
      <c r="AQ178" s="149"/>
      <c r="AR178" s="149"/>
      <c r="AS178" s="149"/>
      <c r="AT178" s="149"/>
      <c r="AU178" s="149"/>
      <c r="AV178" s="149"/>
      <c r="AW178" s="149"/>
      <c r="AX178" s="149"/>
      <c r="AY178" s="149"/>
      <c r="AZ178" s="149"/>
      <c r="BA178" s="149"/>
      <c r="BB178" s="149"/>
      <c r="BC178" s="149"/>
      <c r="BD178" s="149"/>
      <c r="BE178" s="149"/>
      <c r="BF178" s="149"/>
      <c r="BG178" s="149"/>
      <c r="BH178" s="149"/>
      <c r="BI178" s="149"/>
      <c r="BJ178" s="149"/>
      <c r="BK178" s="149"/>
      <c r="BL178" s="149"/>
      <c r="BM178" s="149"/>
      <c r="BN178" s="149"/>
      <c r="BO178" s="149"/>
      <c r="BP178" s="149"/>
      <c r="BQ178" s="149"/>
      <c r="BR178" s="149"/>
      <c r="BS178" s="149"/>
      <c r="BT178" s="149"/>
      <c r="BU178" s="149"/>
      <c r="BV178" s="149"/>
      <c r="BW178" s="149"/>
      <c r="BX178" s="149"/>
      <c r="BY178" s="149"/>
      <c r="BZ178" s="149"/>
      <c r="CA178" s="149"/>
      <c r="CB178" s="149"/>
      <c r="CC178" s="149"/>
      <c r="CD178" s="149"/>
      <c r="CE178" s="149"/>
      <c r="CF178" s="149"/>
      <c r="CG178" s="149"/>
      <c r="CH178" s="149"/>
      <c r="CI178" s="149"/>
      <c r="CJ178" s="149"/>
      <c r="CK178" s="149"/>
      <c r="CL178" s="149"/>
      <c r="CM178" s="149"/>
      <c r="CN178" s="149"/>
      <c r="CO178" s="149"/>
      <c r="CP178" s="149"/>
      <c r="CQ178" s="149"/>
      <c r="CR178" s="149"/>
    </row>
    <row r="179" spans="1:96">
      <c r="A179" s="149"/>
      <c r="B179" s="149"/>
      <c r="C179" s="149"/>
      <c r="D179" s="149"/>
      <c r="E179" s="149"/>
      <c r="F179" s="149"/>
      <c r="G179" s="219"/>
      <c r="H179" s="219"/>
      <c r="M179" s="158"/>
      <c r="N179" s="158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  <c r="AC179" s="149"/>
      <c r="AD179" s="149"/>
      <c r="AE179" s="149"/>
      <c r="AF179" s="149"/>
      <c r="AG179" s="149"/>
      <c r="AH179" s="149"/>
      <c r="AI179" s="149"/>
      <c r="AJ179" s="149"/>
      <c r="AK179" s="149"/>
      <c r="AL179" s="149"/>
      <c r="AM179" s="149"/>
      <c r="AN179" s="149"/>
      <c r="AO179" s="149"/>
      <c r="AP179" s="149"/>
      <c r="AQ179" s="149"/>
      <c r="AR179" s="149"/>
      <c r="AS179" s="149"/>
      <c r="AT179" s="149"/>
      <c r="AU179" s="149"/>
      <c r="AV179" s="149"/>
      <c r="AW179" s="149"/>
      <c r="AX179" s="149"/>
      <c r="AY179" s="149"/>
      <c r="AZ179" s="149"/>
      <c r="BA179" s="149"/>
      <c r="BB179" s="149"/>
      <c r="BC179" s="149"/>
      <c r="BD179" s="149"/>
      <c r="BE179" s="149"/>
      <c r="BF179" s="149"/>
      <c r="BG179" s="149"/>
      <c r="BH179" s="149"/>
      <c r="BI179" s="149"/>
      <c r="BJ179" s="149"/>
      <c r="BK179" s="149"/>
      <c r="BL179" s="149"/>
      <c r="BM179" s="149"/>
      <c r="BN179" s="149"/>
      <c r="BO179" s="149"/>
      <c r="BP179" s="149"/>
      <c r="BQ179" s="149"/>
      <c r="BR179" s="149"/>
      <c r="BS179" s="149"/>
      <c r="BT179" s="149"/>
      <c r="BU179" s="149"/>
      <c r="BV179" s="149"/>
      <c r="BW179" s="149"/>
      <c r="BX179" s="149"/>
      <c r="BY179" s="149"/>
      <c r="BZ179" s="149"/>
      <c r="CA179" s="149"/>
      <c r="CB179" s="149"/>
      <c r="CC179" s="149"/>
      <c r="CD179" s="149"/>
      <c r="CE179" s="149"/>
      <c r="CF179" s="149"/>
      <c r="CG179" s="149"/>
      <c r="CH179" s="149"/>
      <c r="CI179" s="149"/>
      <c r="CJ179" s="149"/>
      <c r="CK179" s="149"/>
      <c r="CL179" s="149"/>
      <c r="CM179" s="149"/>
      <c r="CN179" s="149"/>
      <c r="CO179" s="149"/>
      <c r="CP179" s="149"/>
      <c r="CQ179" s="149"/>
      <c r="CR179" s="149"/>
    </row>
    <row r="180" spans="1:96">
      <c r="A180" s="149"/>
      <c r="B180" s="149"/>
      <c r="C180" s="149"/>
      <c r="D180" s="149"/>
      <c r="E180" s="149"/>
      <c r="F180" s="149"/>
      <c r="G180" s="219"/>
      <c r="H180" s="219"/>
      <c r="M180" s="158"/>
      <c r="N180" s="158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  <c r="AC180" s="149"/>
      <c r="AD180" s="149"/>
      <c r="AE180" s="149"/>
      <c r="AF180" s="149"/>
      <c r="AG180" s="149"/>
      <c r="AH180" s="149"/>
      <c r="AI180" s="149"/>
      <c r="AJ180" s="149"/>
      <c r="AK180" s="149"/>
      <c r="AL180" s="149"/>
      <c r="AM180" s="149"/>
      <c r="AN180" s="149"/>
      <c r="AO180" s="149"/>
      <c r="AP180" s="149"/>
      <c r="AQ180" s="149"/>
      <c r="AR180" s="149"/>
      <c r="AS180" s="149"/>
      <c r="AT180" s="149"/>
      <c r="AU180" s="149"/>
      <c r="AV180" s="149"/>
      <c r="AW180" s="149"/>
      <c r="AX180" s="149"/>
      <c r="AY180" s="149"/>
      <c r="AZ180" s="149"/>
      <c r="BA180" s="149"/>
      <c r="BB180" s="149"/>
      <c r="BC180" s="149"/>
      <c r="BD180" s="149"/>
      <c r="BE180" s="149"/>
      <c r="BF180" s="149"/>
      <c r="BG180" s="149"/>
      <c r="BH180" s="149"/>
      <c r="BI180" s="149"/>
      <c r="BJ180" s="149"/>
      <c r="BK180" s="149"/>
      <c r="BL180" s="149"/>
      <c r="BM180" s="149"/>
      <c r="BN180" s="149"/>
      <c r="BO180" s="149"/>
      <c r="BP180" s="149"/>
      <c r="BQ180" s="149"/>
      <c r="BR180" s="149"/>
      <c r="BS180" s="149"/>
      <c r="BT180" s="149"/>
      <c r="BU180" s="149"/>
      <c r="BV180" s="149"/>
      <c r="BW180" s="149"/>
      <c r="BX180" s="149"/>
      <c r="BY180" s="149"/>
      <c r="BZ180" s="149"/>
      <c r="CA180" s="149"/>
      <c r="CB180" s="149"/>
      <c r="CC180" s="149"/>
      <c r="CD180" s="149"/>
      <c r="CE180" s="149"/>
      <c r="CF180" s="149"/>
      <c r="CG180" s="149"/>
      <c r="CH180" s="149"/>
      <c r="CI180" s="149"/>
      <c r="CJ180" s="149"/>
      <c r="CK180" s="149"/>
      <c r="CL180" s="149"/>
      <c r="CM180" s="149"/>
      <c r="CN180" s="149"/>
      <c r="CO180" s="149"/>
      <c r="CP180" s="149"/>
      <c r="CQ180" s="149"/>
      <c r="CR180" s="149"/>
    </row>
    <row r="181" spans="1:96">
      <c r="A181" s="149"/>
      <c r="B181" s="149"/>
      <c r="C181" s="149"/>
      <c r="D181" s="149"/>
      <c r="E181" s="149"/>
      <c r="F181" s="149"/>
      <c r="G181" s="219"/>
      <c r="H181" s="219"/>
      <c r="M181" s="158"/>
      <c r="N181" s="158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  <c r="AC181" s="149"/>
      <c r="AD181" s="149"/>
      <c r="AE181" s="149"/>
      <c r="AF181" s="149"/>
      <c r="AG181" s="149"/>
      <c r="AH181" s="149"/>
      <c r="AI181" s="149"/>
      <c r="AJ181" s="149"/>
      <c r="AK181" s="149"/>
      <c r="AL181" s="149"/>
      <c r="AM181" s="149"/>
      <c r="AN181" s="149"/>
      <c r="AO181" s="149"/>
      <c r="AP181" s="149"/>
      <c r="AQ181" s="149"/>
      <c r="AR181" s="149"/>
      <c r="AS181" s="149"/>
      <c r="AT181" s="149"/>
      <c r="AU181" s="149"/>
      <c r="AV181" s="149"/>
      <c r="AW181" s="149"/>
      <c r="AX181" s="149"/>
      <c r="AY181" s="149"/>
      <c r="AZ181" s="149"/>
      <c r="BA181" s="149"/>
      <c r="BB181" s="149"/>
      <c r="BC181" s="149"/>
      <c r="BD181" s="149"/>
      <c r="BE181" s="149"/>
      <c r="BF181" s="149"/>
      <c r="BG181" s="149"/>
      <c r="BH181" s="149"/>
      <c r="BI181" s="149"/>
      <c r="BJ181" s="149"/>
      <c r="BK181" s="149"/>
      <c r="BL181" s="149"/>
      <c r="BM181" s="149"/>
      <c r="BN181" s="149"/>
      <c r="BO181" s="149"/>
      <c r="BP181" s="149"/>
      <c r="BQ181" s="149"/>
      <c r="BR181" s="149"/>
      <c r="BS181" s="149"/>
      <c r="BT181" s="149"/>
      <c r="BU181" s="149"/>
      <c r="BV181" s="149"/>
      <c r="BW181" s="149"/>
      <c r="BX181" s="149"/>
      <c r="BY181" s="149"/>
      <c r="BZ181" s="149"/>
      <c r="CA181" s="149"/>
      <c r="CB181" s="149"/>
      <c r="CC181" s="149"/>
      <c r="CD181" s="149"/>
      <c r="CE181" s="149"/>
      <c r="CF181" s="149"/>
      <c r="CG181" s="149"/>
      <c r="CH181" s="149"/>
      <c r="CI181" s="149"/>
      <c r="CJ181" s="149"/>
      <c r="CK181" s="149"/>
      <c r="CL181" s="149"/>
      <c r="CM181" s="149"/>
      <c r="CN181" s="149"/>
      <c r="CO181" s="149"/>
      <c r="CP181" s="149"/>
      <c r="CQ181" s="149"/>
      <c r="CR181" s="149"/>
    </row>
    <row r="182" spans="1:96">
      <c r="A182" s="149"/>
      <c r="B182" s="149"/>
      <c r="C182" s="149"/>
      <c r="D182" s="149"/>
      <c r="E182" s="149"/>
      <c r="F182" s="149"/>
      <c r="G182" s="219"/>
      <c r="H182" s="219"/>
      <c r="M182" s="158"/>
      <c r="N182" s="158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  <c r="AC182" s="149"/>
      <c r="AD182" s="149"/>
      <c r="AE182" s="149"/>
      <c r="AF182" s="149"/>
      <c r="AG182" s="149"/>
      <c r="AH182" s="149"/>
      <c r="AI182" s="149"/>
      <c r="AJ182" s="149"/>
      <c r="AK182" s="149"/>
      <c r="AL182" s="149"/>
      <c r="AM182" s="149"/>
      <c r="AN182" s="149"/>
      <c r="AO182" s="149"/>
      <c r="AP182" s="149"/>
      <c r="AQ182" s="149"/>
      <c r="AR182" s="149"/>
      <c r="AS182" s="149"/>
      <c r="AT182" s="149"/>
      <c r="AU182" s="149"/>
      <c r="AV182" s="149"/>
      <c r="AW182" s="149"/>
      <c r="AX182" s="149"/>
      <c r="AY182" s="149"/>
      <c r="AZ182" s="149"/>
      <c r="BA182" s="149"/>
      <c r="BB182" s="149"/>
      <c r="BC182" s="149"/>
      <c r="BD182" s="149"/>
      <c r="BE182" s="149"/>
      <c r="BF182" s="149"/>
      <c r="BG182" s="149"/>
      <c r="BH182" s="149"/>
      <c r="BI182" s="149"/>
      <c r="BJ182" s="149"/>
      <c r="BK182" s="149"/>
      <c r="BL182" s="149"/>
      <c r="BM182" s="149"/>
      <c r="BN182" s="149"/>
      <c r="BO182" s="149"/>
      <c r="BP182" s="149"/>
      <c r="BQ182" s="149"/>
      <c r="BR182" s="149"/>
      <c r="BS182" s="149"/>
      <c r="BT182" s="149"/>
      <c r="BU182" s="149"/>
      <c r="BV182" s="149"/>
      <c r="BW182" s="149"/>
      <c r="BX182" s="149"/>
      <c r="BY182" s="149"/>
      <c r="BZ182" s="149"/>
      <c r="CA182" s="149"/>
      <c r="CB182" s="149"/>
      <c r="CC182" s="149"/>
      <c r="CD182" s="149"/>
      <c r="CE182" s="149"/>
      <c r="CF182" s="149"/>
      <c r="CG182" s="149"/>
      <c r="CH182" s="149"/>
      <c r="CI182" s="149"/>
      <c r="CJ182" s="149"/>
      <c r="CK182" s="149"/>
      <c r="CL182" s="149"/>
      <c r="CM182" s="149"/>
      <c r="CN182" s="149"/>
      <c r="CO182" s="149"/>
      <c r="CP182" s="149"/>
      <c r="CQ182" s="149"/>
      <c r="CR182" s="149"/>
    </row>
    <row r="183" spans="1:96">
      <c r="A183" s="149"/>
      <c r="B183" s="149"/>
      <c r="C183" s="149"/>
      <c r="D183" s="149"/>
      <c r="E183" s="149"/>
      <c r="F183" s="149"/>
      <c r="G183" s="219"/>
      <c r="H183" s="219"/>
      <c r="M183" s="158"/>
      <c r="N183" s="158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  <c r="AC183" s="149"/>
      <c r="AD183" s="149"/>
      <c r="AE183" s="149"/>
      <c r="AF183" s="149"/>
      <c r="AG183" s="149"/>
      <c r="AH183" s="149"/>
      <c r="AI183" s="149"/>
      <c r="AJ183" s="149"/>
      <c r="AK183" s="149"/>
      <c r="AL183" s="149"/>
      <c r="AM183" s="149"/>
      <c r="AN183" s="149"/>
      <c r="AO183" s="149"/>
      <c r="AP183" s="149"/>
      <c r="AQ183" s="149"/>
      <c r="AR183" s="149"/>
      <c r="AS183" s="149"/>
      <c r="AT183" s="149"/>
      <c r="AU183" s="149"/>
      <c r="AV183" s="149"/>
      <c r="AW183" s="149"/>
      <c r="AX183" s="149"/>
      <c r="AY183" s="149"/>
      <c r="AZ183" s="149"/>
      <c r="BA183" s="149"/>
      <c r="BB183" s="149"/>
      <c r="BC183" s="149"/>
      <c r="BD183" s="149"/>
      <c r="BE183" s="149"/>
      <c r="BF183" s="149"/>
      <c r="BG183" s="149"/>
      <c r="BH183" s="149"/>
      <c r="BI183" s="149"/>
      <c r="BJ183" s="149"/>
      <c r="BK183" s="149"/>
      <c r="BL183" s="149"/>
      <c r="BM183" s="149"/>
      <c r="BN183" s="149"/>
      <c r="BO183" s="149"/>
      <c r="BP183" s="149"/>
      <c r="BQ183" s="149"/>
      <c r="BR183" s="149"/>
      <c r="BS183" s="149"/>
      <c r="BT183" s="149"/>
      <c r="BU183" s="149"/>
      <c r="BV183" s="149"/>
      <c r="BW183" s="149"/>
      <c r="BX183" s="149"/>
      <c r="BY183" s="149"/>
      <c r="BZ183" s="149"/>
      <c r="CA183" s="149"/>
      <c r="CB183" s="149"/>
      <c r="CC183" s="149"/>
      <c r="CD183" s="149"/>
      <c r="CE183" s="149"/>
      <c r="CF183" s="149"/>
      <c r="CG183" s="149"/>
      <c r="CH183" s="149"/>
      <c r="CI183" s="149"/>
      <c r="CJ183" s="149"/>
      <c r="CK183" s="149"/>
      <c r="CL183" s="149"/>
      <c r="CM183" s="149"/>
      <c r="CN183" s="149"/>
      <c r="CO183" s="149"/>
      <c r="CP183" s="149"/>
      <c r="CQ183" s="149"/>
      <c r="CR183" s="149"/>
    </row>
  </sheetData>
  <mergeCells count="2">
    <mergeCell ref="D1:P1"/>
    <mergeCell ref="E101:F101"/>
  </mergeCells>
  <phoneticPr fontId="43" type="noConversion"/>
  <pageMargins left="0.7" right="0.7" top="0.75" bottom="0.75" header="0.3" footer="0.3"/>
  <pageSetup scale="41" orientation="portrait" r:id="rId1"/>
  <headerFooter>
    <oddHeader>&amp;R&amp;"Arial"&amp;12&amp;KB16D0A Document Classification: Public&amp;1#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6"/>
  <sheetViews>
    <sheetView topLeftCell="C1" workbookViewId="0">
      <selection activeCell="G20" sqref="G20"/>
    </sheetView>
  </sheetViews>
  <sheetFormatPr defaultColWidth="9.33203125" defaultRowHeight="15.6"/>
  <cols>
    <col min="1" max="1" width="16.109375" style="1" customWidth="1"/>
    <col min="2" max="2" width="24.33203125" style="1" customWidth="1"/>
    <col min="3" max="3" width="41.33203125" style="1" customWidth="1"/>
    <col min="4" max="4" width="25.33203125" style="1" customWidth="1"/>
    <col min="5" max="5" width="14.33203125" style="1" customWidth="1"/>
    <col min="6" max="6" width="18" style="1" customWidth="1"/>
    <col min="7" max="7" width="24.33203125" style="15" customWidth="1"/>
    <col min="8" max="8" width="20.33203125" style="1" customWidth="1"/>
    <col min="9" max="9" width="15.33203125" style="1" customWidth="1"/>
    <col min="10" max="10" width="14.33203125" style="16" customWidth="1"/>
    <col min="11" max="11" width="5.33203125" style="1" hidden="1" customWidth="1"/>
    <col min="12" max="12" width="10.33203125" style="1" customWidth="1"/>
    <col min="13" max="16384" width="9.33203125" style="1"/>
  </cols>
  <sheetData>
    <row r="1" spans="1:12" ht="65.849999999999994" customHeight="1">
      <c r="A1" s="3"/>
      <c r="B1" s="3"/>
      <c r="C1" s="273"/>
      <c r="D1" s="273"/>
      <c r="E1" s="273"/>
      <c r="F1" s="273"/>
      <c r="G1" s="273"/>
      <c r="H1" s="3"/>
      <c r="I1" s="3"/>
      <c r="J1" s="3"/>
      <c r="K1" s="3"/>
      <c r="L1" s="149"/>
    </row>
    <row r="2" spans="1:12" ht="36.6" customHeight="1">
      <c r="A2" s="274" t="s">
        <v>21</v>
      </c>
      <c r="B2" s="274"/>
      <c r="C2" s="274"/>
      <c r="D2" s="274"/>
      <c r="E2" s="274"/>
      <c r="F2" s="274"/>
      <c r="G2" s="274"/>
      <c r="H2" s="274"/>
      <c r="I2" s="274"/>
      <c r="J2" s="274"/>
      <c r="K2" s="3"/>
      <c r="L2" s="149"/>
    </row>
    <row r="3" spans="1:12" ht="19.5" customHeight="1">
      <c r="A3" s="6"/>
      <c r="B3" s="112" t="str">
        <f>SUMMARY!A3</f>
        <v>Date: Wednesday, 05 August, 2026</v>
      </c>
      <c r="C3" s="6"/>
      <c r="D3" s="5"/>
      <c r="E3" s="5"/>
      <c r="F3" s="5"/>
      <c r="G3" s="4"/>
      <c r="H3" s="5"/>
      <c r="I3" s="5"/>
      <c r="J3" s="5"/>
      <c r="K3" s="5"/>
      <c r="L3" s="149"/>
    </row>
    <row r="4" spans="1:12" ht="73.5" customHeight="1">
      <c r="A4" s="17" t="s">
        <v>44</v>
      </c>
      <c r="B4" s="18" t="s">
        <v>23</v>
      </c>
      <c r="C4" s="18" t="s">
        <v>24</v>
      </c>
      <c r="D4" s="19" t="s">
        <v>25</v>
      </c>
      <c r="E4" s="20" t="s">
        <v>7</v>
      </c>
      <c r="F4" s="21" t="s">
        <v>424</v>
      </c>
      <c r="G4" s="22" t="s">
        <v>29</v>
      </c>
      <c r="H4" s="23" t="s">
        <v>30</v>
      </c>
      <c r="I4" s="23" t="s">
        <v>33</v>
      </c>
      <c r="J4" s="43" t="s">
        <v>34</v>
      </c>
      <c r="K4" s="44" t="s">
        <v>35</v>
      </c>
      <c r="L4" s="149"/>
    </row>
    <row r="5" spans="1:12">
      <c r="A5" s="248" t="s">
        <v>425</v>
      </c>
      <c r="B5" s="7"/>
      <c r="C5" s="167"/>
      <c r="D5" s="168"/>
      <c r="E5" s="24"/>
      <c r="F5" s="25"/>
      <c r="G5" s="26"/>
      <c r="H5" s="9"/>
      <c r="I5" s="201"/>
      <c r="J5" s="213"/>
      <c r="K5" s="254"/>
      <c r="L5" s="160"/>
    </row>
    <row r="6" spans="1:12">
      <c r="A6" s="248">
        <v>1</v>
      </c>
      <c r="B6" s="7" t="s">
        <v>36</v>
      </c>
      <c r="C6" s="167" t="s">
        <v>37</v>
      </c>
      <c r="D6" s="168" t="s">
        <v>38</v>
      </c>
      <c r="E6" s="24">
        <v>12.2</v>
      </c>
      <c r="F6" s="27">
        <v>101.305201772049</v>
      </c>
      <c r="G6" s="26"/>
      <c r="H6" s="9"/>
      <c r="I6" s="201">
        <v>2546</v>
      </c>
      <c r="J6" s="213">
        <v>48667</v>
      </c>
      <c r="K6" s="254"/>
      <c r="L6" s="160"/>
    </row>
    <row r="7" spans="1:12">
      <c r="A7" s="248"/>
      <c r="B7" s="7"/>
      <c r="C7" s="167"/>
      <c r="D7" s="148"/>
      <c r="E7" s="24"/>
      <c r="F7" s="24"/>
      <c r="G7" s="28"/>
      <c r="H7" s="9"/>
      <c r="I7" s="201"/>
      <c r="J7" s="213"/>
      <c r="K7" s="254"/>
      <c r="L7" s="160"/>
    </row>
    <row r="8" spans="1:12">
      <c r="A8" s="248" t="s">
        <v>426</v>
      </c>
      <c r="B8" s="7"/>
      <c r="C8" s="167"/>
      <c r="D8" s="148"/>
      <c r="E8" s="24"/>
      <c r="F8" s="24"/>
      <c r="G8" s="28"/>
      <c r="H8" s="9"/>
      <c r="I8" s="201"/>
      <c r="J8" s="213"/>
      <c r="K8" s="254"/>
      <c r="L8" s="160"/>
    </row>
    <row r="9" spans="1:12">
      <c r="A9" s="248">
        <v>1</v>
      </c>
      <c r="B9" s="7" t="s">
        <v>45</v>
      </c>
      <c r="C9" s="167" t="s">
        <v>46</v>
      </c>
      <c r="D9" s="148" t="s">
        <v>47</v>
      </c>
      <c r="E9" s="24">
        <v>10.41</v>
      </c>
      <c r="F9" s="24">
        <v>99.594225699999996</v>
      </c>
      <c r="G9" s="28">
        <v>298976</v>
      </c>
      <c r="H9" s="9">
        <v>3</v>
      </c>
      <c r="I9" s="201">
        <v>495</v>
      </c>
      <c r="J9" s="213">
        <v>46616</v>
      </c>
      <c r="K9" s="254"/>
      <c r="L9" s="160"/>
    </row>
    <row r="10" spans="1:12">
      <c r="A10" s="248">
        <v>2</v>
      </c>
      <c r="B10" s="7" t="s">
        <v>48</v>
      </c>
      <c r="C10" s="167" t="s">
        <v>49</v>
      </c>
      <c r="D10" s="148" t="s">
        <v>50</v>
      </c>
      <c r="E10" s="24">
        <v>15.65</v>
      </c>
      <c r="F10" s="24">
        <v>90.454451345755601</v>
      </c>
      <c r="G10" s="28">
        <v>966</v>
      </c>
      <c r="H10" s="9">
        <v>1</v>
      </c>
      <c r="I10" s="201">
        <v>859</v>
      </c>
      <c r="J10" s="213">
        <v>46980</v>
      </c>
      <c r="K10" s="254"/>
      <c r="L10" s="160"/>
    </row>
    <row r="11" spans="1:12">
      <c r="A11" s="248">
        <v>3</v>
      </c>
      <c r="B11" s="7" t="s">
        <v>51</v>
      </c>
      <c r="C11" s="167" t="s">
        <v>52</v>
      </c>
      <c r="D11" s="148" t="s">
        <v>53</v>
      </c>
      <c r="E11" s="24">
        <v>16.09</v>
      </c>
      <c r="F11" s="24">
        <v>98.833614215083898</v>
      </c>
      <c r="G11" s="28"/>
      <c r="H11" s="9"/>
      <c r="I11" s="201">
        <v>495</v>
      </c>
      <c r="J11" s="213">
        <v>46616</v>
      </c>
      <c r="K11" s="254"/>
      <c r="L11" s="160"/>
    </row>
    <row r="12" spans="1:12">
      <c r="A12" s="248">
        <v>4</v>
      </c>
      <c r="B12" s="7" t="s">
        <v>54</v>
      </c>
      <c r="C12" s="167" t="s">
        <v>55</v>
      </c>
      <c r="D12" s="148" t="s">
        <v>56</v>
      </c>
      <c r="E12" s="24">
        <v>15.82</v>
      </c>
      <c r="F12" s="24">
        <v>98.508835758835701</v>
      </c>
      <c r="G12" s="29"/>
      <c r="H12" s="30"/>
      <c r="I12" s="201">
        <f t="shared" ref="I12:I24" ca="1" si="0">J12-TODAY()</f>
        <v>741</v>
      </c>
      <c r="J12" s="213">
        <v>46980</v>
      </c>
      <c r="K12" s="254"/>
      <c r="L12" s="160"/>
    </row>
    <row r="13" spans="1:12">
      <c r="A13" s="248">
        <v>5</v>
      </c>
      <c r="B13" s="7" t="s">
        <v>57</v>
      </c>
      <c r="C13" s="167" t="s">
        <v>58</v>
      </c>
      <c r="D13" s="148" t="s">
        <v>59</v>
      </c>
      <c r="E13" s="24">
        <v>9</v>
      </c>
      <c r="F13" s="24">
        <v>99.661167253703496</v>
      </c>
      <c r="G13" s="28">
        <v>965300</v>
      </c>
      <c r="H13" s="30">
        <v>1</v>
      </c>
      <c r="I13" s="201">
        <f t="shared" ca="1" si="0"/>
        <v>195</v>
      </c>
      <c r="J13" s="213">
        <v>46434</v>
      </c>
      <c r="K13" s="254"/>
      <c r="L13" s="160"/>
    </row>
    <row r="14" spans="1:12">
      <c r="A14" s="248">
        <v>6</v>
      </c>
      <c r="B14" s="7" t="s">
        <v>60</v>
      </c>
      <c r="C14" s="167" t="s">
        <v>61</v>
      </c>
      <c r="D14" s="148" t="s">
        <v>62</v>
      </c>
      <c r="E14" s="24">
        <v>11.3</v>
      </c>
      <c r="F14" s="24">
        <v>96.143286813186805</v>
      </c>
      <c r="G14" s="28">
        <v>130000</v>
      </c>
      <c r="H14" s="9">
        <v>1</v>
      </c>
      <c r="I14" s="201">
        <f t="shared" ca="1" si="0"/>
        <v>559</v>
      </c>
      <c r="J14" s="213">
        <v>46798</v>
      </c>
      <c r="K14" s="254"/>
      <c r="L14" s="160"/>
    </row>
    <row r="15" spans="1:12">
      <c r="A15" s="248">
        <v>7</v>
      </c>
      <c r="B15" s="7" t="s">
        <v>63</v>
      </c>
      <c r="C15" s="167" t="s">
        <v>64</v>
      </c>
      <c r="D15" s="148" t="s">
        <v>65</v>
      </c>
      <c r="E15" s="24">
        <v>12.54</v>
      </c>
      <c r="F15" s="25">
        <v>91.759367839999996</v>
      </c>
      <c r="G15" s="28">
        <v>7268</v>
      </c>
      <c r="H15" s="9">
        <v>2</v>
      </c>
      <c r="I15" s="201">
        <f t="shared" ca="1" si="0"/>
        <v>923</v>
      </c>
      <c r="J15" s="213">
        <v>47162</v>
      </c>
      <c r="K15" s="254"/>
      <c r="L15" s="160"/>
    </row>
    <row r="16" spans="1:12">
      <c r="A16" s="248">
        <v>8</v>
      </c>
      <c r="B16" s="7" t="s">
        <v>66</v>
      </c>
      <c r="C16" s="167" t="s">
        <v>67</v>
      </c>
      <c r="D16" s="148" t="s">
        <v>68</v>
      </c>
      <c r="E16" s="24">
        <v>13.01</v>
      </c>
      <c r="F16" s="27">
        <v>88.347935930083295</v>
      </c>
      <c r="G16" s="28">
        <v>140641</v>
      </c>
      <c r="H16" s="9">
        <v>1</v>
      </c>
      <c r="I16" s="201">
        <f t="shared" ca="1" si="0"/>
        <v>1287</v>
      </c>
      <c r="J16" s="213">
        <v>47526</v>
      </c>
      <c r="K16" s="254"/>
      <c r="L16" s="160"/>
    </row>
    <row r="17" spans="1:12">
      <c r="A17" s="248">
        <v>9</v>
      </c>
      <c r="B17" s="7" t="s">
        <v>69</v>
      </c>
      <c r="C17" s="167" t="s">
        <v>70</v>
      </c>
      <c r="D17" s="148" t="s">
        <v>71</v>
      </c>
      <c r="E17" s="24">
        <v>15.42</v>
      </c>
      <c r="F17" s="27">
        <v>79.107067479999998</v>
      </c>
      <c r="G17" s="31"/>
      <c r="H17" s="9"/>
      <c r="I17" s="201">
        <f t="shared" ca="1" si="0"/>
        <v>1651</v>
      </c>
      <c r="J17" s="213">
        <v>47890</v>
      </c>
      <c r="K17" s="254"/>
      <c r="L17" s="160"/>
    </row>
    <row r="18" spans="1:12">
      <c r="A18" s="248">
        <v>10</v>
      </c>
      <c r="B18" s="7" t="s">
        <v>72</v>
      </c>
      <c r="C18" s="167" t="s">
        <v>73</v>
      </c>
      <c r="D18" s="148" t="s">
        <v>74</v>
      </c>
      <c r="E18" s="25">
        <v>13.87</v>
      </c>
      <c r="F18" s="27">
        <v>81.805680194250797</v>
      </c>
      <c r="G18" s="32"/>
      <c r="H18" s="9"/>
      <c r="I18" s="201">
        <f t="shared" ca="1" si="0"/>
        <v>2015</v>
      </c>
      <c r="J18" s="213">
        <v>48254</v>
      </c>
      <c r="K18" s="254"/>
      <c r="L18" s="160"/>
    </row>
    <row r="19" spans="1:12">
      <c r="A19" s="248">
        <v>11</v>
      </c>
      <c r="B19" s="7" t="s">
        <v>75</v>
      </c>
      <c r="C19" s="167" t="s">
        <v>76</v>
      </c>
      <c r="D19" s="148" t="s">
        <v>77</v>
      </c>
      <c r="E19" s="24">
        <v>10.1</v>
      </c>
      <c r="F19" s="27">
        <v>96.015377410575496</v>
      </c>
      <c r="G19" s="32"/>
      <c r="H19" s="9"/>
      <c r="I19" s="201">
        <f t="shared" ca="1" si="0"/>
        <v>2379</v>
      </c>
      <c r="J19" s="213">
        <v>48618</v>
      </c>
      <c r="K19" s="254"/>
      <c r="L19" s="160"/>
    </row>
    <row r="20" spans="1:12">
      <c r="A20" s="248">
        <v>12</v>
      </c>
      <c r="B20" s="7" t="s">
        <v>78</v>
      </c>
      <c r="C20" s="167" t="s">
        <v>79</v>
      </c>
      <c r="D20" s="148" t="s">
        <v>80</v>
      </c>
      <c r="E20" s="24">
        <v>14.62</v>
      </c>
      <c r="F20" s="27">
        <v>76.596369229999993</v>
      </c>
      <c r="G20" s="28">
        <v>37057</v>
      </c>
      <c r="H20" s="9">
        <v>2</v>
      </c>
      <c r="I20" s="201">
        <f t="shared" ca="1" si="0"/>
        <v>2743</v>
      </c>
      <c r="J20" s="213">
        <v>48982</v>
      </c>
      <c r="K20" s="254"/>
      <c r="L20" s="160"/>
    </row>
    <row r="21" spans="1:12">
      <c r="A21" s="248">
        <v>13</v>
      </c>
      <c r="B21" s="7" t="s">
        <v>81</v>
      </c>
      <c r="C21" s="167" t="s">
        <v>82</v>
      </c>
      <c r="D21" s="148" t="s">
        <v>83</v>
      </c>
      <c r="E21" s="24">
        <v>14.3</v>
      </c>
      <c r="F21" s="27">
        <v>76.989759428571404</v>
      </c>
      <c r="G21" s="28">
        <v>250000</v>
      </c>
      <c r="H21" s="9">
        <v>1</v>
      </c>
      <c r="I21" s="201">
        <f t="shared" ca="1" si="0"/>
        <v>3107</v>
      </c>
      <c r="J21" s="213">
        <v>49346</v>
      </c>
      <c r="K21" s="254"/>
      <c r="L21" s="160"/>
    </row>
    <row r="22" spans="1:12">
      <c r="A22" s="248">
        <v>14</v>
      </c>
      <c r="B22" s="7" t="s">
        <v>84</v>
      </c>
      <c r="C22" s="167" t="s">
        <v>85</v>
      </c>
      <c r="D22" s="148" t="s">
        <v>86</v>
      </c>
      <c r="E22" s="25">
        <v>15.97</v>
      </c>
      <c r="F22" s="27">
        <v>69.630399990000001</v>
      </c>
      <c r="G22" s="32"/>
      <c r="H22" s="9"/>
      <c r="I22" s="201">
        <f t="shared" ca="1" si="0"/>
        <v>3471</v>
      </c>
      <c r="J22" s="213">
        <v>49710</v>
      </c>
      <c r="K22" s="254"/>
      <c r="L22" s="160"/>
    </row>
    <row r="23" spans="1:12">
      <c r="A23" s="248">
        <v>15</v>
      </c>
      <c r="B23" s="7" t="s">
        <v>87</v>
      </c>
      <c r="C23" s="167" t="s">
        <v>88</v>
      </c>
      <c r="D23" s="148" t="s">
        <v>89</v>
      </c>
      <c r="E23" s="24">
        <v>14.75</v>
      </c>
      <c r="F23" s="27">
        <v>74.184950154285701</v>
      </c>
      <c r="G23" s="33">
        <v>50000000</v>
      </c>
      <c r="H23" s="9">
        <v>1</v>
      </c>
      <c r="I23" s="201">
        <f t="shared" ca="1" si="0"/>
        <v>3835</v>
      </c>
      <c r="J23" s="213">
        <v>50074</v>
      </c>
      <c r="K23" s="254"/>
      <c r="L23" s="160"/>
    </row>
    <row r="24" spans="1:12">
      <c r="A24" s="248">
        <v>16</v>
      </c>
      <c r="B24" s="11" t="s">
        <v>90</v>
      </c>
      <c r="C24" s="170" t="s">
        <v>91</v>
      </c>
      <c r="D24" s="171" t="s">
        <v>92</v>
      </c>
      <c r="E24" s="34">
        <v>14.85</v>
      </c>
      <c r="F24" s="27">
        <v>73.585127357142795</v>
      </c>
      <c r="G24" s="28">
        <v>50000000</v>
      </c>
      <c r="H24" s="9">
        <v>1</v>
      </c>
      <c r="I24" s="201">
        <f t="shared" ca="1" si="0"/>
        <v>4199</v>
      </c>
      <c r="J24" s="172">
        <v>50438</v>
      </c>
      <c r="K24" s="254"/>
      <c r="L24" s="160"/>
    </row>
    <row r="25" spans="1:12">
      <c r="A25" s="10"/>
      <c r="B25" s="11"/>
      <c r="C25" s="170"/>
      <c r="D25" s="171"/>
      <c r="E25" s="34"/>
      <c r="F25" s="35"/>
      <c r="G25" s="36"/>
      <c r="H25" s="37"/>
      <c r="I25" s="214"/>
      <c r="J25" s="172"/>
      <c r="K25" s="160"/>
      <c r="L25" s="160"/>
    </row>
    <row r="26" spans="1:12">
      <c r="A26" s="10"/>
      <c r="B26" s="11"/>
      <c r="C26" s="170"/>
      <c r="D26" s="171"/>
      <c r="E26" s="34"/>
      <c r="F26" s="35"/>
      <c r="G26" s="36"/>
      <c r="H26" s="37"/>
      <c r="I26" s="214"/>
      <c r="J26" s="172"/>
      <c r="K26" s="160"/>
      <c r="L26" s="160"/>
    </row>
    <row r="27" spans="1:12">
      <c r="A27" s="10"/>
      <c r="B27" s="11"/>
      <c r="C27" s="170"/>
      <c r="D27" s="171"/>
      <c r="E27" s="34"/>
      <c r="F27" s="35"/>
      <c r="G27" s="36"/>
      <c r="H27" s="37"/>
      <c r="I27" s="214"/>
      <c r="J27" s="172"/>
      <c r="K27" s="160"/>
      <c r="L27" s="160"/>
    </row>
    <row r="28" spans="1:12">
      <c r="A28" s="10">
        <v>1</v>
      </c>
      <c r="B28" s="11" t="s">
        <v>93</v>
      </c>
      <c r="C28" s="170" t="s">
        <v>94</v>
      </c>
      <c r="D28" s="171" t="s">
        <v>95</v>
      </c>
      <c r="E28" s="34"/>
      <c r="F28" s="35"/>
      <c r="G28" s="36"/>
      <c r="H28" s="37"/>
      <c r="I28" s="201">
        <f t="shared" ref="I28:I36" ca="1" si="1">J28-TODAY()</f>
        <v>482</v>
      </c>
      <c r="J28" s="172">
        <v>46721</v>
      </c>
      <c r="K28" s="160"/>
      <c r="L28" s="160"/>
    </row>
    <row r="29" spans="1:12">
      <c r="A29" s="10">
        <v>2</v>
      </c>
      <c r="B29" s="11" t="s">
        <v>96</v>
      </c>
      <c r="C29" s="170" t="s">
        <v>97</v>
      </c>
      <c r="D29" s="171" t="s">
        <v>98</v>
      </c>
      <c r="E29" s="34"/>
      <c r="F29" s="35"/>
      <c r="G29" s="36"/>
      <c r="H29" s="37"/>
      <c r="I29" s="201">
        <f t="shared" ca="1" si="1"/>
        <v>487</v>
      </c>
      <c r="J29" s="172">
        <v>46726</v>
      </c>
      <c r="K29" s="160"/>
      <c r="L29" s="160"/>
    </row>
    <row r="30" spans="1:12">
      <c r="A30" s="10">
        <v>3</v>
      </c>
      <c r="B30" s="11" t="s">
        <v>99</v>
      </c>
      <c r="C30" s="170" t="s">
        <v>100</v>
      </c>
      <c r="D30" s="171" t="s">
        <v>101</v>
      </c>
      <c r="E30" s="34"/>
      <c r="F30" s="35"/>
      <c r="G30" s="36"/>
      <c r="H30" s="37"/>
      <c r="I30" s="201">
        <f t="shared" ca="1" si="1"/>
        <v>1210</v>
      </c>
      <c r="J30" s="172">
        <v>47449</v>
      </c>
      <c r="K30" s="160"/>
      <c r="L30" s="160"/>
    </row>
    <row r="31" spans="1:12">
      <c r="A31" s="10">
        <v>4</v>
      </c>
      <c r="B31" s="11" t="s">
        <v>102</v>
      </c>
      <c r="C31" s="170" t="s">
        <v>103</v>
      </c>
      <c r="D31" s="171" t="s">
        <v>104</v>
      </c>
      <c r="E31" s="34"/>
      <c r="F31" s="35"/>
      <c r="G31" s="36"/>
      <c r="H31" s="37"/>
      <c r="I31" s="201">
        <f t="shared" ca="1" si="1"/>
        <v>1945</v>
      </c>
      <c r="J31" s="172">
        <v>48184</v>
      </c>
      <c r="K31" s="160"/>
      <c r="L31" s="160"/>
    </row>
    <row r="32" spans="1:12">
      <c r="A32" s="10">
        <v>5</v>
      </c>
      <c r="B32" s="11" t="s">
        <v>105</v>
      </c>
      <c r="C32" s="170" t="s">
        <v>106</v>
      </c>
      <c r="D32" s="171" t="s">
        <v>107</v>
      </c>
      <c r="E32" s="34"/>
      <c r="F32" s="35"/>
      <c r="G32" s="36"/>
      <c r="H32" s="37"/>
      <c r="I32" s="201">
        <f t="shared" ca="1" si="1"/>
        <v>2673</v>
      </c>
      <c r="J32" s="172">
        <v>48912</v>
      </c>
      <c r="K32" s="160"/>
      <c r="L32" s="160"/>
    </row>
    <row r="33" spans="1:12">
      <c r="A33" s="10">
        <v>6</v>
      </c>
      <c r="B33" s="11" t="s">
        <v>108</v>
      </c>
      <c r="C33" s="170" t="s">
        <v>109</v>
      </c>
      <c r="D33" s="171" t="s">
        <v>110</v>
      </c>
      <c r="E33" s="34"/>
      <c r="F33" s="35"/>
      <c r="G33" s="36"/>
      <c r="H33" s="37"/>
      <c r="I33" s="201">
        <f t="shared" ca="1" si="1"/>
        <v>3401</v>
      </c>
      <c r="J33" s="172">
        <v>49640</v>
      </c>
      <c r="K33" s="160"/>
      <c r="L33" s="160"/>
    </row>
    <row r="34" spans="1:12">
      <c r="A34" s="10">
        <v>7</v>
      </c>
      <c r="B34" s="11" t="s">
        <v>111</v>
      </c>
      <c r="C34" s="170" t="s">
        <v>112</v>
      </c>
      <c r="D34" s="171" t="s">
        <v>113</v>
      </c>
      <c r="E34" s="34"/>
      <c r="F34" s="35"/>
      <c r="G34" s="36"/>
      <c r="H34" s="37"/>
      <c r="I34" s="201">
        <f t="shared" ca="1" si="1"/>
        <v>3765</v>
      </c>
      <c r="J34" s="172">
        <v>50004</v>
      </c>
      <c r="K34" s="160"/>
      <c r="L34" s="160"/>
    </row>
    <row r="35" spans="1:12">
      <c r="A35" s="10">
        <v>8</v>
      </c>
      <c r="B35" s="11" t="s">
        <v>114</v>
      </c>
      <c r="C35" s="170" t="s">
        <v>115</v>
      </c>
      <c r="D35" s="171" t="s">
        <v>116</v>
      </c>
      <c r="E35" s="34"/>
      <c r="F35" s="35"/>
      <c r="G35" s="36"/>
      <c r="H35" s="37"/>
      <c r="I35" s="201">
        <f t="shared" ca="1" si="1"/>
        <v>4129</v>
      </c>
      <c r="J35" s="172">
        <v>50368</v>
      </c>
      <c r="K35" s="160"/>
      <c r="L35" s="160"/>
    </row>
    <row r="36" spans="1:12">
      <c r="A36" s="10">
        <v>9</v>
      </c>
      <c r="B36" s="11" t="s">
        <v>117</v>
      </c>
      <c r="C36" s="215" t="s">
        <v>118</v>
      </c>
      <c r="D36" s="171" t="s">
        <v>119</v>
      </c>
      <c r="E36" s="34"/>
      <c r="F36" s="35"/>
      <c r="G36" s="36"/>
      <c r="H36" s="37"/>
      <c r="I36" s="201">
        <f t="shared" ca="1" si="1"/>
        <v>853</v>
      </c>
      <c r="J36" s="172">
        <v>47092</v>
      </c>
      <c r="K36" s="160"/>
      <c r="L36" s="160"/>
    </row>
    <row r="37" spans="1:12">
      <c r="A37" s="11"/>
      <c r="B37" s="11"/>
      <c r="C37" s="204"/>
      <c r="D37" s="171"/>
      <c r="E37" s="34"/>
      <c r="F37" s="35"/>
      <c r="G37" s="36"/>
      <c r="H37" s="37"/>
      <c r="I37" s="214"/>
      <c r="J37" s="172"/>
      <c r="K37" s="160"/>
      <c r="L37" s="160"/>
    </row>
    <row r="38" spans="1:12">
      <c r="A38" s="7"/>
      <c r="B38" s="11"/>
      <c r="C38" s="170"/>
      <c r="D38" s="171"/>
      <c r="E38" s="34"/>
      <c r="F38" s="35"/>
      <c r="G38" s="36"/>
      <c r="H38" s="37"/>
      <c r="I38" s="214"/>
      <c r="J38" s="172"/>
      <c r="K38" s="160"/>
      <c r="L38" s="160"/>
    </row>
    <row r="39" spans="1:12">
      <c r="A39" s="38"/>
      <c r="B39" s="8"/>
      <c r="C39" s="215"/>
      <c r="D39" s="189"/>
      <c r="E39" s="24"/>
      <c r="F39" s="27"/>
      <c r="G39" s="28"/>
      <c r="H39" s="9"/>
      <c r="I39" s="201"/>
      <c r="J39" s="213"/>
      <c r="K39" s="160"/>
      <c r="L39" s="160"/>
    </row>
    <row r="40" spans="1:12">
      <c r="A40" s="38">
        <v>1</v>
      </c>
      <c r="B40" s="8" t="s">
        <v>120</v>
      </c>
      <c r="C40" s="215" t="s">
        <v>121</v>
      </c>
      <c r="D40" s="189" t="s">
        <v>122</v>
      </c>
      <c r="E40" s="24"/>
      <c r="F40" s="27"/>
      <c r="G40" s="28"/>
      <c r="H40" s="9"/>
      <c r="I40" s="201">
        <f t="shared" ref="I40:I43" ca="1" si="2">J40-TODAY()</f>
        <v>395</v>
      </c>
      <c r="J40" s="213">
        <v>46634</v>
      </c>
      <c r="K40" s="160"/>
      <c r="L40" s="160"/>
    </row>
    <row r="41" spans="1:12">
      <c r="A41" s="38">
        <v>2</v>
      </c>
      <c r="B41" s="8" t="s">
        <v>123</v>
      </c>
      <c r="C41" s="215" t="s">
        <v>124</v>
      </c>
      <c r="D41" s="189" t="s">
        <v>125</v>
      </c>
      <c r="E41" s="24">
        <v>79.959999999999994</v>
      </c>
      <c r="F41" s="27">
        <v>79.959999999999994</v>
      </c>
      <c r="G41" s="28"/>
      <c r="H41" s="9"/>
      <c r="I41" s="201">
        <f t="shared" ca="1" si="2"/>
        <v>761</v>
      </c>
      <c r="J41" s="213">
        <v>47000</v>
      </c>
      <c r="K41" s="160"/>
      <c r="L41" s="160"/>
    </row>
    <row r="42" spans="1:12">
      <c r="A42" s="38">
        <v>3</v>
      </c>
      <c r="B42" s="8" t="s">
        <v>126</v>
      </c>
      <c r="C42" s="215" t="s">
        <v>127</v>
      </c>
      <c r="D42" s="189" t="s">
        <v>128</v>
      </c>
      <c r="E42" s="24"/>
      <c r="F42" s="27"/>
      <c r="G42" s="28"/>
      <c r="H42" s="9"/>
      <c r="I42" s="201">
        <f t="shared" ca="1" si="2"/>
        <v>395</v>
      </c>
      <c r="J42" s="213">
        <v>46634</v>
      </c>
      <c r="K42" s="160"/>
      <c r="L42" s="160"/>
    </row>
    <row r="43" spans="1:12">
      <c r="A43" s="38">
        <v>4</v>
      </c>
      <c r="B43" s="8" t="s">
        <v>129</v>
      </c>
      <c r="C43" s="215" t="s">
        <v>130</v>
      </c>
      <c r="D43" s="189" t="s">
        <v>131</v>
      </c>
      <c r="E43" s="24">
        <v>86.8</v>
      </c>
      <c r="F43" s="27">
        <v>86.8</v>
      </c>
      <c r="G43" s="28"/>
      <c r="H43" s="9"/>
      <c r="I43" s="201">
        <f t="shared" ca="1" si="2"/>
        <v>761</v>
      </c>
      <c r="J43" s="213">
        <v>47000</v>
      </c>
      <c r="K43" s="160"/>
      <c r="L43" s="160"/>
    </row>
    <row r="44" spans="1:12">
      <c r="A44" s="173"/>
      <c r="B44" s="39" t="s">
        <v>39</v>
      </c>
      <c r="C44" s="174"/>
      <c r="D44" s="175"/>
      <c r="E44" s="163"/>
      <c r="F44" s="163"/>
      <c r="G44" s="40">
        <f>SUM(G5:G43)</f>
        <v>101830208</v>
      </c>
      <c r="H44" s="40">
        <f>SUM(H5:H43)</f>
        <v>14</v>
      </c>
      <c r="I44" s="174"/>
      <c r="J44" s="177"/>
      <c r="K44" s="149"/>
      <c r="L44" s="149"/>
    </row>
    <row r="45" spans="1:12">
      <c r="A45" s="149"/>
      <c r="B45" s="41"/>
      <c r="C45" s="149"/>
      <c r="D45" s="149"/>
      <c r="E45" s="149"/>
      <c r="F45" s="149"/>
      <c r="H45" s="149"/>
      <c r="I45" s="149"/>
      <c r="J45" s="164"/>
      <c r="K45" s="149"/>
      <c r="L45" s="149"/>
    </row>
    <row r="46" spans="1:12">
      <c r="A46" s="149"/>
      <c r="B46" s="149"/>
      <c r="C46" s="149"/>
      <c r="D46" s="149"/>
      <c r="E46" s="149"/>
      <c r="F46" s="149"/>
      <c r="G46" s="159"/>
      <c r="H46" s="13"/>
      <c r="I46" s="149"/>
      <c r="J46" s="164"/>
      <c r="K46" s="149"/>
      <c r="L46" s="149"/>
    </row>
    <row r="47" spans="1:12">
      <c r="A47" s="2" t="s">
        <v>41</v>
      </c>
      <c r="B47" s="2"/>
      <c r="C47" s="2"/>
      <c r="D47" s="2"/>
      <c r="E47" s="149"/>
      <c r="F47" s="149"/>
      <c r="G47" s="14"/>
      <c r="H47" s="14"/>
      <c r="I47" s="149"/>
      <c r="J47" s="158"/>
      <c r="K47" s="165"/>
      <c r="L47" s="149"/>
    </row>
    <row r="48" spans="1:12">
      <c r="A48" s="157" t="s">
        <v>42</v>
      </c>
      <c r="B48" s="157"/>
      <c r="C48" s="157"/>
      <c r="D48" s="157"/>
      <c r="E48" s="158"/>
      <c r="F48" s="159"/>
      <c r="G48" s="13"/>
      <c r="H48" s="166"/>
      <c r="I48" s="149"/>
      <c r="J48" s="160"/>
      <c r="K48" s="165"/>
      <c r="L48" s="149"/>
    </row>
    <row r="49" spans="1:10">
      <c r="A49" s="157" t="s">
        <v>132</v>
      </c>
      <c r="B49" s="157" t="s">
        <v>133</v>
      </c>
      <c r="C49" s="157"/>
      <c r="D49" s="157"/>
      <c r="E49" s="158"/>
      <c r="F49" s="159"/>
      <c r="G49" s="13"/>
      <c r="H49" s="149"/>
      <c r="I49" s="149"/>
      <c r="J49" s="160"/>
    </row>
    <row r="50" spans="1:10">
      <c r="A50" s="157" t="s">
        <v>43</v>
      </c>
      <c r="B50" s="157"/>
      <c r="C50" s="157"/>
      <c r="D50" s="157"/>
      <c r="E50" s="158"/>
      <c r="F50" s="159"/>
      <c r="G50" s="13"/>
      <c r="H50" s="149"/>
      <c r="I50" s="149"/>
      <c r="J50" s="160"/>
    </row>
    <row r="51" spans="1:10">
      <c r="A51" s="157"/>
      <c r="B51" s="157"/>
      <c r="C51" s="157"/>
      <c r="D51" s="157"/>
      <c r="E51" s="149"/>
      <c r="F51" s="149"/>
      <c r="G51" s="13"/>
      <c r="H51" s="149"/>
      <c r="I51" s="149"/>
      <c r="J51" s="164"/>
    </row>
    <row r="52" spans="1:10">
      <c r="A52" s="157"/>
      <c r="B52" s="41"/>
      <c r="C52" s="41"/>
      <c r="D52" s="157"/>
      <c r="E52" s="149"/>
      <c r="F52" s="149"/>
      <c r="G52" s="13"/>
      <c r="H52" s="149"/>
      <c r="I52" s="149"/>
      <c r="J52" s="164"/>
    </row>
    <row r="53" spans="1:10">
      <c r="A53" s="149"/>
      <c r="B53" s="149"/>
      <c r="C53" s="149"/>
      <c r="D53" s="149"/>
      <c r="E53" s="149"/>
      <c r="F53" s="149"/>
      <c r="G53" s="13"/>
      <c r="H53" s="149"/>
      <c r="I53" s="149"/>
      <c r="J53" s="164"/>
    </row>
    <row r="54" spans="1:10">
      <c r="A54" s="149"/>
      <c r="B54" s="149"/>
      <c r="C54" s="149"/>
      <c r="D54" s="149"/>
      <c r="E54" s="149"/>
      <c r="F54" s="149"/>
      <c r="G54" s="13"/>
      <c r="H54" s="149"/>
      <c r="I54" s="149"/>
      <c r="J54" s="164"/>
    </row>
    <row r="55" spans="1:10">
      <c r="A55" s="149"/>
      <c r="B55" s="149"/>
      <c r="C55" s="149"/>
      <c r="D55" s="149"/>
      <c r="E55" s="149"/>
      <c r="F55" s="149"/>
      <c r="G55" s="13"/>
      <c r="H55" s="149"/>
      <c r="I55" s="149"/>
      <c r="J55" s="164"/>
    </row>
    <row r="56" spans="1:10">
      <c r="A56" s="149"/>
      <c r="B56" s="149"/>
      <c r="C56" s="149"/>
      <c r="D56" s="149"/>
      <c r="E56" s="149"/>
      <c r="F56" s="149"/>
      <c r="G56" s="13"/>
      <c r="H56" s="149"/>
      <c r="I56" s="149"/>
      <c r="J56" s="164"/>
    </row>
    <row r="57" spans="1:10">
      <c r="A57" s="149"/>
      <c r="B57" s="149"/>
      <c r="C57" s="149"/>
      <c r="D57" s="149"/>
      <c r="E57" s="149"/>
      <c r="F57" s="149"/>
      <c r="G57" s="13"/>
      <c r="H57" s="149"/>
      <c r="I57" s="149"/>
      <c r="J57" s="164"/>
    </row>
    <row r="58" spans="1:10">
      <c r="A58" s="149"/>
      <c r="B58" s="149"/>
      <c r="C58" s="149"/>
      <c r="D58" s="149"/>
      <c r="E58" s="149"/>
      <c r="F58" s="149"/>
      <c r="G58" s="13"/>
      <c r="H58" s="149"/>
      <c r="I58" s="149"/>
      <c r="J58" s="164"/>
    </row>
    <row r="59" spans="1:10">
      <c r="A59" s="149"/>
      <c r="B59" s="149"/>
      <c r="C59" s="149"/>
      <c r="D59" s="149"/>
      <c r="E59" s="149"/>
      <c r="F59" s="149"/>
      <c r="G59" s="13"/>
      <c r="H59" s="149"/>
      <c r="I59" s="149"/>
      <c r="J59" s="164"/>
    </row>
    <row r="60" spans="1:10">
      <c r="A60" s="149"/>
      <c r="B60" s="149"/>
      <c r="C60" s="149"/>
      <c r="D60" s="149"/>
      <c r="E60" s="149"/>
      <c r="F60" s="149"/>
      <c r="G60" s="13"/>
      <c r="H60" s="149"/>
      <c r="I60" s="149"/>
      <c r="J60" s="164"/>
    </row>
    <row r="61" spans="1:10">
      <c r="A61" s="149"/>
      <c r="B61" s="149"/>
      <c r="C61" s="149"/>
      <c r="D61" s="149"/>
      <c r="E61" s="149"/>
      <c r="F61" s="149"/>
      <c r="G61" s="13"/>
      <c r="H61" s="149"/>
      <c r="I61" s="149"/>
      <c r="J61" s="164"/>
    </row>
    <row r="62" spans="1:10">
      <c r="A62" s="149"/>
      <c r="B62" s="149"/>
      <c r="C62" s="149"/>
      <c r="D62" s="149"/>
      <c r="E62" s="149"/>
      <c r="F62" s="149"/>
      <c r="G62" s="13"/>
      <c r="H62" s="149"/>
      <c r="I62" s="149"/>
      <c r="J62" s="164"/>
    </row>
    <row r="63" spans="1:10">
      <c r="A63" s="149"/>
      <c r="B63" s="149"/>
      <c r="C63" s="149"/>
      <c r="D63" s="149"/>
      <c r="E63" s="149"/>
      <c r="F63" s="149"/>
      <c r="G63" s="13"/>
      <c r="H63" s="149"/>
      <c r="I63" s="149"/>
      <c r="J63" s="164"/>
    </row>
    <row r="64" spans="1:10">
      <c r="A64" s="149"/>
      <c r="B64" s="149"/>
      <c r="C64" s="149"/>
      <c r="D64" s="149"/>
      <c r="E64" s="149"/>
      <c r="F64" s="149"/>
      <c r="G64" s="13"/>
      <c r="H64" s="149"/>
      <c r="I64" s="149"/>
      <c r="J64" s="164"/>
    </row>
    <row r="65" spans="7:7">
      <c r="G65" s="13"/>
    </row>
    <row r="66" spans="7:7">
      <c r="G66" s="13"/>
    </row>
    <row r="67" spans="7:7">
      <c r="G67" s="13"/>
    </row>
    <row r="68" spans="7:7">
      <c r="G68" s="13"/>
    </row>
    <row r="69" spans="7:7">
      <c r="G69" s="13"/>
    </row>
    <row r="70" spans="7:7">
      <c r="G70" s="13"/>
    </row>
    <row r="71" spans="7:7">
      <c r="G71" s="13"/>
    </row>
    <row r="72" spans="7:7">
      <c r="G72" s="13"/>
    </row>
    <row r="73" spans="7:7">
      <c r="G73" s="13"/>
    </row>
    <row r="74" spans="7:7">
      <c r="G74" s="13"/>
    </row>
    <row r="75" spans="7:7">
      <c r="G75" s="13"/>
    </row>
    <row r="76" spans="7:7">
      <c r="G76" s="13"/>
    </row>
    <row r="77" spans="7:7">
      <c r="G77" s="13"/>
    </row>
    <row r="78" spans="7:7">
      <c r="G78" s="13"/>
    </row>
    <row r="79" spans="7:7">
      <c r="G79" s="13"/>
    </row>
    <row r="80" spans="7:7">
      <c r="G80" s="13"/>
    </row>
    <row r="81" spans="7:7">
      <c r="G81" s="13"/>
    </row>
    <row r="82" spans="7:7">
      <c r="G82" s="13"/>
    </row>
    <row r="83" spans="7:7">
      <c r="G83" s="13"/>
    </row>
    <row r="84" spans="7:7">
      <c r="G84" s="13"/>
    </row>
    <row r="85" spans="7:7">
      <c r="G85" s="13"/>
    </row>
    <row r="86" spans="7:7">
      <c r="G86" s="13"/>
    </row>
    <row r="87" spans="7:7">
      <c r="G87" s="13"/>
    </row>
    <row r="88" spans="7:7">
      <c r="G88" s="13"/>
    </row>
    <row r="89" spans="7:7">
      <c r="G89" s="13"/>
    </row>
    <row r="90" spans="7:7">
      <c r="G90" s="13"/>
    </row>
    <row r="91" spans="7:7">
      <c r="G91" s="13"/>
    </row>
    <row r="92" spans="7:7">
      <c r="G92" s="13"/>
    </row>
    <row r="93" spans="7:7">
      <c r="G93" s="13"/>
    </row>
    <row r="94" spans="7:7">
      <c r="G94" s="13"/>
    </row>
    <row r="95" spans="7:7">
      <c r="G95" s="13"/>
    </row>
    <row r="96" spans="7:7">
      <c r="G96" s="13"/>
    </row>
    <row r="97" spans="7:7">
      <c r="G97" s="13"/>
    </row>
    <row r="98" spans="7:7">
      <c r="G98" s="13"/>
    </row>
    <row r="99" spans="7:7">
      <c r="G99" s="13"/>
    </row>
    <row r="100" spans="7:7">
      <c r="G100" s="13"/>
    </row>
    <row r="101" spans="7:7">
      <c r="G101" s="13"/>
    </row>
    <row r="102" spans="7:7">
      <c r="G102" s="13"/>
    </row>
    <row r="103" spans="7:7">
      <c r="G103" s="13"/>
    </row>
    <row r="104" spans="7:7">
      <c r="G104" s="13"/>
    </row>
    <row r="105" spans="7:7">
      <c r="G105" s="13"/>
    </row>
    <row r="106" spans="7:7">
      <c r="G106" s="13"/>
    </row>
    <row r="107" spans="7:7">
      <c r="G107" s="13"/>
    </row>
    <row r="108" spans="7:7">
      <c r="G108" s="13"/>
    </row>
    <row r="109" spans="7:7">
      <c r="G109" s="13"/>
    </row>
    <row r="110" spans="7:7">
      <c r="G110" s="13"/>
    </row>
    <row r="111" spans="7:7">
      <c r="G111" s="13"/>
    </row>
    <row r="112" spans="7:7">
      <c r="G112" s="13"/>
    </row>
    <row r="113" spans="7:7">
      <c r="G113" s="13"/>
    </row>
    <row r="114" spans="7:7">
      <c r="G114" s="13"/>
    </row>
    <row r="115" spans="7:7">
      <c r="G115" s="13"/>
    </row>
    <row r="116" spans="7:7">
      <c r="G116" s="13"/>
    </row>
    <row r="117" spans="7:7">
      <c r="G117" s="13"/>
    </row>
    <row r="118" spans="7:7">
      <c r="G118" s="13"/>
    </row>
    <row r="119" spans="7:7">
      <c r="G119" s="13"/>
    </row>
    <row r="120" spans="7:7">
      <c r="G120" s="13"/>
    </row>
    <row r="121" spans="7:7">
      <c r="G121" s="13"/>
    </row>
    <row r="122" spans="7:7">
      <c r="G122" s="13"/>
    </row>
    <row r="123" spans="7:7">
      <c r="G123" s="13"/>
    </row>
    <row r="124" spans="7:7">
      <c r="G124" s="13"/>
    </row>
    <row r="125" spans="7:7">
      <c r="G125" s="13"/>
    </row>
    <row r="126" spans="7:7">
      <c r="G126" s="13"/>
    </row>
  </sheetData>
  <mergeCells count="2">
    <mergeCell ref="C1:G1"/>
    <mergeCell ref="A2:J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6B9740E76CB34B98E91EAF440844F6" ma:contentTypeVersion="8" ma:contentTypeDescription="Create a new document." ma:contentTypeScope="" ma:versionID="89392ce6a8b5d759786fe2c9dadc2595">
  <xsd:schema xmlns:xsd="http://www.w3.org/2001/XMLSchema" xmlns:xs="http://www.w3.org/2001/XMLSchema" xmlns:p="http://schemas.microsoft.com/office/2006/metadata/properties" xmlns:ns2="d8573117-c874-4469-a7f1-bc0b71ed5001" xmlns:ns3="5e154295-9b2b-4268-8259-88e7513eb9cb" targetNamespace="http://schemas.microsoft.com/office/2006/metadata/properties" ma:root="true" ma:fieldsID="1c4853c1ef99303c1854a2146f684d4a" ns2:_="" ns3:_="">
    <xsd:import namespace="d8573117-c874-4469-a7f1-bc0b71ed5001"/>
    <xsd:import namespace="5e154295-9b2b-4268-8259-88e7513eb9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73117-c874-4469-a7f1-bc0b71ed50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54295-9b2b-4268-8259-88e7513eb9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1F7AFB-4E2C-417B-B552-6B0B9C06E8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573117-c874-4469-a7f1-bc0b71ed5001"/>
    <ds:schemaRef ds:uri="5e154295-9b2b-4268-8259-88e7513eb9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B12AED-E0E4-4E83-95E5-F9E7FCC497A8}">
  <ds:schemaRefs>
    <ds:schemaRef ds:uri="http://purl.org/dc/dcmitype/"/>
    <ds:schemaRef ds:uri="http://purl.org/dc/terms/"/>
    <ds:schemaRef ds:uri="d8573117-c874-4469-a7f1-bc0b71ed5001"/>
    <ds:schemaRef ds:uri="http://purl.org/dc/elements/1.1/"/>
    <ds:schemaRef ds:uri="http://schemas.microsoft.com/office/2006/documentManagement/types"/>
    <ds:schemaRef ds:uri="5e154295-9b2b-4268-8259-88e7513eb9cb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26900DE-AE90-436B-8B8C-6FDA3337C6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NEW GOG NOTES AND BONDS</vt:lpstr>
      <vt:lpstr>DDEP BONDS</vt:lpstr>
      <vt:lpstr>OLD GOG NOTES AND BONDS </vt:lpstr>
      <vt:lpstr>CORPORATE  </vt:lpstr>
      <vt:lpstr>TREASURY BILLS</vt:lpstr>
      <vt:lpstr>SELL BUY BACK TRADES- GOG BONDS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Levina Serwah Sackey</dc:creator>
  <cp:keywords/>
  <dc:description/>
  <cp:lastModifiedBy>Umar Kadiri-English</cp:lastModifiedBy>
  <cp:revision/>
  <dcterms:created xsi:type="dcterms:W3CDTF">2022-10-11T17:56:00Z</dcterms:created>
  <dcterms:modified xsi:type="dcterms:W3CDTF">2026-08-05T17:35:38Z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e46b81-6385-491b-8dcf-1d9e9340b9b3_Enabled">
    <vt:lpwstr>true</vt:lpwstr>
  </property>
  <property fmtid="{D5CDD505-2E9C-101B-9397-08002B2CF9AE}" pid="3" name="MSIP_Label_a5e46b81-6385-491b-8dcf-1d9e9340b9b3_SetDate">
    <vt:lpwstr>2024-02-08T15:37:02Z</vt:lpwstr>
  </property>
  <property fmtid="{D5CDD505-2E9C-101B-9397-08002B2CF9AE}" pid="4" name="MSIP_Label_a5e46b81-6385-491b-8dcf-1d9e9340b9b3_Method">
    <vt:lpwstr>Privileged</vt:lpwstr>
  </property>
  <property fmtid="{D5CDD505-2E9C-101B-9397-08002B2CF9AE}" pid="5" name="MSIP_Label_a5e46b81-6385-491b-8dcf-1d9e9340b9b3_Name">
    <vt:lpwstr>Public</vt:lpwstr>
  </property>
  <property fmtid="{D5CDD505-2E9C-101B-9397-08002B2CF9AE}" pid="6" name="MSIP_Label_a5e46b81-6385-491b-8dcf-1d9e9340b9b3_SiteId">
    <vt:lpwstr>02cf6e20-335b-4454-b53a-5329ff9dcde4</vt:lpwstr>
  </property>
  <property fmtid="{D5CDD505-2E9C-101B-9397-08002B2CF9AE}" pid="7" name="MSIP_Label_a5e46b81-6385-491b-8dcf-1d9e9340b9b3_ActionId">
    <vt:lpwstr>8ec44389-3da0-49f8-ba5e-d687eecb36eb</vt:lpwstr>
  </property>
  <property fmtid="{D5CDD505-2E9C-101B-9397-08002B2CF9AE}" pid="8" name="MSIP_Label_a5e46b81-6385-491b-8dcf-1d9e9340b9b3_ContentBits">
    <vt:lpwstr>1</vt:lpwstr>
  </property>
  <property fmtid="{D5CDD505-2E9C-101B-9397-08002B2CF9AE}" pid="9" name="ContentTypeId">
    <vt:lpwstr>0x010100EE6B9740E76CB34B98E91EAF440844F6</vt:lpwstr>
  </property>
  <property fmtid="{D5CDD505-2E9C-101B-9397-08002B2CF9AE}" pid="10" name="ICV">
    <vt:lpwstr>FC4D5E934CF54942A84B444CFE6176A0_13</vt:lpwstr>
  </property>
  <property fmtid="{D5CDD505-2E9C-101B-9397-08002B2CF9AE}" pid="11" name="KSOProductBuildVer">
    <vt:lpwstr>1033-12.2.0.21931</vt:lpwstr>
  </property>
  <property fmtid="{D5CDD505-2E9C-101B-9397-08002B2CF9AE}" pid="12" name="MSIP_Label_027a3850-2850-457c-8efb-fdd5fa4d27d3_Enabled">
    <vt:lpwstr>true</vt:lpwstr>
  </property>
  <property fmtid="{D5CDD505-2E9C-101B-9397-08002B2CF9AE}" pid="13" name="MSIP_Label_027a3850-2850-457c-8efb-fdd5fa4d27d3_SetDate">
    <vt:lpwstr>2026-06-01T18:00:16Z</vt:lpwstr>
  </property>
  <property fmtid="{D5CDD505-2E9C-101B-9397-08002B2CF9AE}" pid="14" name="MSIP_Label_027a3850-2850-457c-8efb-fdd5fa4d27d3_Method">
    <vt:lpwstr>Standard</vt:lpwstr>
  </property>
  <property fmtid="{D5CDD505-2E9C-101B-9397-08002B2CF9AE}" pid="15" name="MSIP_Label_027a3850-2850-457c-8efb-fdd5fa4d27d3_Name">
    <vt:lpwstr>027a3850-2850-457c-8efb-fdd5fa4d27d3</vt:lpwstr>
  </property>
  <property fmtid="{D5CDD505-2E9C-101B-9397-08002B2CF9AE}" pid="16" name="MSIP_Label_027a3850-2850-457c-8efb-fdd5fa4d27d3_SiteId">
    <vt:lpwstr>7369e6ec-faa6-42fa-bc0e-4f332da5b1db</vt:lpwstr>
  </property>
  <property fmtid="{D5CDD505-2E9C-101B-9397-08002B2CF9AE}" pid="17" name="MSIP_Label_027a3850-2850-457c-8efb-fdd5fa4d27d3_ActionId">
    <vt:lpwstr>662afefa-0569-45a8-b8aa-deec56c52407</vt:lpwstr>
  </property>
  <property fmtid="{D5CDD505-2E9C-101B-9397-08002B2CF9AE}" pid="18" name="MSIP_Label_027a3850-2850-457c-8efb-fdd5fa4d27d3_ContentBits">
    <vt:lpwstr>0</vt:lpwstr>
  </property>
  <property fmtid="{D5CDD505-2E9C-101B-9397-08002B2CF9AE}" pid="19" name="MSIP_Label_027a3850-2850-457c-8efb-fdd5fa4d27d3_Tag">
    <vt:lpwstr>10, 3, 0, 1</vt:lpwstr>
  </property>
</Properties>
</file>